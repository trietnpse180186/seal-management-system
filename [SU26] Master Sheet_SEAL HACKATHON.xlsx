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visible" name="Giải thưởng" sheetId="2" r:id="rId6"/>
    <sheet state="visible" name="Nhân sự " sheetId="3" r:id="rId7"/>
    <sheet state="visible" name="Layout" sheetId="4" r:id="rId8"/>
    <sheet state="visible" name="Cơm" sheetId="5" r:id="rId9"/>
  </sheets>
  <definedNames/>
  <calcPr/>
</workbook>
</file>

<file path=xl/sharedStrings.xml><?xml version="1.0" encoding="utf-8"?>
<sst xmlns="http://schemas.openxmlformats.org/spreadsheetml/2006/main" count="209" uniqueCount="146">
  <si>
    <t>Tên giải</t>
  </si>
  <si>
    <t>Thời gian</t>
  </si>
  <si>
    <t>#</t>
  </si>
  <si>
    <t>Trị giá</t>
  </si>
  <si>
    <t>LB24</t>
  </si>
  <si>
    <t xml:space="preserve">Vật phẩm </t>
  </si>
  <si>
    <t>Ghi chú</t>
  </si>
  <si>
    <t>HỌ TÊN</t>
  </si>
  <si>
    <t>Thời lượng</t>
  </si>
  <si>
    <t>01 Giải Nhất</t>
  </si>
  <si>
    <t>Nội dung</t>
  </si>
  <si>
    <t>KHOA/PHÒNG BAN</t>
  </si>
  <si>
    <t>Người phụ trách</t>
  </si>
  <si>
    <t>NHIỆM VỤ</t>
  </si>
  <si>
    <t>Formex giải thưởng + Khung giấy chứng nhận + Hoa</t>
  </si>
  <si>
    <t>LED</t>
  </si>
  <si>
    <t>13/7/2026 - 20/7/2026</t>
  </si>
  <si>
    <t>Ban tổ chức</t>
  </si>
  <si>
    <t>7 ngày</t>
  </si>
  <si>
    <t>Đăng ký tham gia cuộc thi</t>
  </si>
  <si>
    <t>Khoa SE &amp; CTSV</t>
  </si>
  <si>
    <t>01 Giải Nhì</t>
  </si>
  <si>
    <t>20:00 - 21:30</t>
  </si>
  <si>
    <t>1 tiếng 30 phút</t>
  </si>
  <si>
    <t>Ngày 13/8/2026
 Workshop training “AI-Driven Smart Operations: From Real-Time IoT Data to Intelligent Decisions”</t>
  </si>
  <si>
    <t>KỸ THUẬT - HỖ TRỢ
(CB - CTV CTSV)</t>
  </si>
  <si>
    <t>Nguyễn Thị Cẩm Hương</t>
  </si>
  <si>
    <t>Trưởng Khoa Kỹ thuật phần mềm</t>
  </si>
  <si>
    <t>Trưởng Ban tổ chức Khoa Kỹ thuật phần mềm</t>
  </si>
  <si>
    <t>01 Giải Ba</t>
  </si>
  <si>
    <t>Ngày 15/8/2026</t>
  </si>
  <si>
    <t>Trương Long</t>
  </si>
  <si>
    <t>01 Giải Khuyến Khích</t>
  </si>
  <si>
    <t>Giảng viên Khoa Kỹ thuật phần mềm</t>
  </si>
  <si>
    <t>Formex giải thưởng + Khung giấy chứng nhận</t>
  </si>
  <si>
    <t>Điều phối chung - Phụ trách chính</t>
  </si>
  <si>
    <t>14:00 - 17:00</t>
  </si>
  <si>
    <t>3 tiếng</t>
  </si>
  <si>
    <t>Ngày 15/8/2026
 Set up &amp; Thi công backdrop</t>
  </si>
  <si>
    <t>CTV &amp; CTSV</t>
  </si>
  <si>
    <t>Đặng Vũ Thuỳ Ngân</t>
  </si>
  <si>
    <t>Trưởng phòng CTSV</t>
  </si>
  <si>
    <t>Trưởng Ban tổ chức CTSV</t>
  </si>
  <si>
    <t>Thí sinh đồng hành 3 mùa SEAL Hackathon</t>
  </si>
  <si>
    <t>Khung khính vinh danh</t>
  </si>
  <si>
    <t>07:00 - 13:00</t>
  </si>
  <si>
    <t>6 tiếng</t>
  </si>
  <si>
    <t>Ngày 15/8/2026
 Set up và chạy thử chương trình</t>
  </si>
  <si>
    <t>All</t>
  </si>
  <si>
    <t>Lê Thị Diệu Ân</t>
  </si>
  <si>
    <t>Cán bộ phòng CTSV</t>
  </si>
  <si>
    <t>Tất cả thí sinh tham gia đều có giấy chứng nhận</t>
  </si>
  <si>
    <t>Điều phối chung  - Phụ trách chính</t>
  </si>
  <si>
    <t>14:00 - 14:30</t>
  </si>
  <si>
    <t>30 phút</t>
  </si>
  <si>
    <t>Ngày 16/8/2026
 - Check in tham gia khai mạc</t>
  </si>
  <si>
    <t xml:space="preserve">Cán bộ CTSV </t>
  </si>
  <si>
    <t>Khoa SE &amp; CTSV &amp; CTV</t>
  </si>
  <si>
    <t>BAN GIÁM KHẢO</t>
  </si>
  <si>
    <t>- Teabreak, ăn uống
- Kỹ thuật, check in, điều phối
- Tiếp đón khách mời
-...</t>
  </si>
  <si>
    <t>14:30 - 16:30</t>
  </si>
  <si>
    <t>2 tiếng</t>
  </si>
  <si>
    <t>- Khai mạc
 - Trình bày tổng quan, thử thách và quy chế thi
 - Bốc thăm bảng thi đấu
 - Gặp gỡ mentor</t>
  </si>
  <si>
    <t>Câu lạc bộ</t>
  </si>
  <si>
    <t>FEV
02H + SEAL9 (4 nhân sự/CLB)</t>
  </si>
  <si>
    <t>- Set up, dọn dẹp, điều phối, hỗ trợ thí sinh
- Check in
- Hỗ trợ mentor, nhận bàn giao vận hành phần mềm</t>
  </si>
  <si>
    <t>16:30 - 17:00</t>
  </si>
  <si>
    <t>DIỄN GIẢ WORKSHOP “AI-Driven Smart Operations: Turning Real-Time IoT Data into Intelligent Actions”</t>
  </si>
  <si>
    <t>- Mentor dặn dò thí sinh
 - Dọn dẹp và set up tiếp tục cho ngày thi chính thức</t>
  </si>
  <si>
    <t>Khoa SE
 CTSV &amp; CTV</t>
  </si>
  <si>
    <t>BÀN</t>
  </si>
  <si>
    <t>Ngày 16/8/2026</t>
  </si>
  <si>
    <t>HỖ TRỢ MENTOR
(CLB HỌC THUẬT)</t>
  </si>
  <si>
    <t>Điều phối chung và diễn giả buổi workshop</t>
  </si>
  <si>
    <t>06:00 - 06:45</t>
  </si>
  <si>
    <t>Ngày 16/8/2026
 - Check-in, nhận bộ kit
 - Chụp ảnh đội thi
 - Ăn sáng</t>
  </si>
  <si>
    <t>CTSV &amp; CTV</t>
  </si>
  <si>
    <t>Nguyễn Đức Tuấn</t>
  </si>
  <si>
    <t>Khách mời</t>
  </si>
  <si>
    <t>Diễn giả buổi workshop</t>
  </si>
  <si>
    <t>6:45 - 7:00</t>
  </si>
  <si>
    <t>Tập trung ổn định theo nhóm</t>
  </si>
  <si>
    <t>MENTOR</t>
  </si>
  <si>
    <t>7:00 - 14:00</t>
  </si>
  <si>
    <t>7 tiếng</t>
  </si>
  <si>
    <t>Các đội thực hiện thử thách và làm bài</t>
  </si>
  <si>
    <t>Ăn trưa tại chỗ</t>
  </si>
  <si>
    <t>Nguyễn Minh Sang</t>
  </si>
  <si>
    <t>Mentor</t>
  </si>
  <si>
    <t>14:00 - 15:45</t>
  </si>
  <si>
    <t>CTV ĐIỀU PHỐI</t>
  </si>
  <si>
    <t>Đỗ Phúc Thịnh</t>
  </si>
  <si>
    <t>1 tiếng 45 phút</t>
  </si>
  <si>
    <t>Vòng sơ loại diễn ra</t>
  </si>
  <si>
    <t>Kiểm tra máy trước
 Mỗi nhóm có 8 phút (5 phút thuyết trình, 3 phút hỏi đáp)</t>
  </si>
  <si>
    <t>15:45 - 16:00</t>
  </si>
  <si>
    <t>CỪA</t>
  </si>
  <si>
    <t>15 phút</t>
  </si>
  <si>
    <t>Ban giám khảo tổng kết điểm và công bố các đội tiếp theo vào chung kết</t>
  </si>
  <si>
    <t>Tôn Thất Hoàng Minh</t>
  </si>
  <si>
    <t>16:00 - 17:45</t>
  </si>
  <si>
    <t>Lê Nguyễn Sơn Vũ</t>
  </si>
  <si>
    <t>Vòng chung kết diễn ra</t>
  </si>
  <si>
    <t>Kiểm tra máy trước
 6 đội có số điểm cao nhất sẽ tiếp tục vào vòng chung kết
 Mỗi nhóm có 10 phút (7 phút thuyết trình, 3 phút hỏi đáp)</t>
  </si>
  <si>
    <t>Phạm Thanh Trí</t>
  </si>
  <si>
    <t>17:45 - 18:00</t>
  </si>
  <si>
    <t>ĐỘI THI TIẾP THEO CHỜ</t>
  </si>
  <si>
    <t>Ban giám khảo tổng kết điểm chung cuộc</t>
  </si>
  <si>
    <t>Nguyễn Ngọc Lâm</t>
  </si>
  <si>
    <t>CÁC ĐỘI CÒN LẠI</t>
  </si>
  <si>
    <t>18:00 - 19:00</t>
  </si>
  <si>
    <t>1 tiếng</t>
  </si>
  <si>
    <t>- Bế mạc cuộc thi
 - Công bố và trao giải
 - Chụp ảnh lưu niệm</t>
  </si>
  <si>
    <t>BM SE &amp; CTSV &amp; CTV</t>
  </si>
  <si>
    <t>Trao giải đồng hành dành cho thí sinh</t>
  </si>
  <si>
    <t>19:00 - 23:00</t>
  </si>
  <si>
    <t>4 tiếng</t>
  </si>
  <si>
    <t>NCC tháo dỡ, dọn dẹp âm thanh,... BTC dọn dẹp và kết thúc cuộc thi</t>
  </si>
  <si>
    <t>VÒNG SƠ LOẠI - TRACK 1</t>
  </si>
  <si>
    <t>VÒNG SƠ LOẠI - TRACK 2</t>
  </si>
  <si>
    <t>VÒNG SƠ LOẠI - TRACK 3</t>
  </si>
  <si>
    <t>TẦNG G</t>
  </si>
  <si>
    <t>VÒNG CHUNG KẾT</t>
  </si>
  <si>
    <t>TIVI</t>
  </si>
  <si>
    <t>Lâm Hữu Khánh Phương</t>
  </si>
  <si>
    <t>Trần Hoàng Phúc</t>
  </si>
  <si>
    <t>Khách mời từ Doanh nghiệp</t>
  </si>
  <si>
    <t>Công Ty Amazing Tech</t>
  </si>
  <si>
    <t>BẬC THANG</t>
  </si>
  <si>
    <r>
      <rPr>
        <rFont val="Cambria"/>
        <b/>
        <color rgb="FFFFFFFF"/>
      </rPr>
      <t>CTV ĐIỀU PHỐI</t>
    </r>
    <r>
      <rPr>
        <rFont val="Cambria"/>
        <color rgb="FFFFFFFF"/>
      </rPr>
      <t xml:space="preserve">
Khu vực lang cang tầng 1 - cánh trái</t>
    </r>
  </si>
  <si>
    <t>SEMINAR</t>
  </si>
  <si>
    <t>CỬA</t>
  </si>
  <si>
    <r>
      <rPr>
        <rFont val="Cambria"/>
        <b/>
        <color rgb="FFFFFFFF"/>
      </rPr>
      <t>CTV ĐIỀU PHỐI</t>
    </r>
    <r>
      <rPr>
        <rFont val="Cambria"/>
        <color rgb="FFFFFFFF"/>
      </rPr>
      <t xml:space="preserve">
Khu vực lang cang tầng 1 - cánh phải</t>
    </r>
  </si>
  <si>
    <t>Ngày</t>
  </si>
  <si>
    <t>BÊN</t>
  </si>
  <si>
    <t>SỐ LƯỢNG</t>
  </si>
  <si>
    <t>SRO</t>
  </si>
  <si>
    <t>FEV</t>
  </si>
  <si>
    <t>SEAL9</t>
  </si>
  <si>
    <t>02H</t>
  </si>
  <si>
    <t>SE</t>
  </si>
  <si>
    <t>Thí sinh</t>
  </si>
  <si>
    <t>Y tế</t>
  </si>
  <si>
    <t>IT</t>
  </si>
  <si>
    <t>KTHT</t>
  </si>
  <si>
    <t>Thư viện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</si>
</sst>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7">
    <font>
      <sz val="10.0"/>
      <color rgb="FF000000"/>
      <name val="Arial"/>
      <scheme val="minor"/>
    </font>
    <font>
      <b/>
      <sz val="11.0"/>
      <color theme="1"/>
      <name val="Cambria"/>
    </font>
    <font>
      <b/>
      <color rgb="FFFFFFFF"/>
      <name val="Cambria"/>
    </font>
    <font>
      <b/>
      <sz val="11.0"/>
      <color rgb="FFFF0000"/>
      <name val="Cambria"/>
    </font>
    <font>
      <sz val="11.0"/>
      <color theme="1"/>
      <name val="Cambria"/>
    </font>
    <font>
      <color theme="1"/>
      <name val="Arial"/>
    </font>
    <font>
      <b/>
      <sz val="11.0"/>
      <color rgb="FFFFFFFF"/>
      <name val="Cambria"/>
    </font>
    <font>
      <color theme="1"/>
      <name val="Cambria"/>
    </font>
    <font/>
    <font>
      <sz val="11.0"/>
      <color rgb="FF000000"/>
      <name val="Cambria"/>
    </font>
    <font>
      <b/>
      <color theme="1"/>
      <name val="Cambria"/>
    </font>
    <font>
      <b/>
      <sz val="11.0"/>
      <color rgb="FF000000"/>
      <name val="Cambria"/>
    </font>
    <font>
      <color rgb="FFFFFFFF"/>
      <name val="Cambria"/>
    </font>
    <font>
      <b/>
      <color rgb="FFFF0000"/>
      <name val="Cambria"/>
    </font>
    <font>
      <b/>
      <color rgb="FF000000"/>
      <name val="Cambria"/>
    </font>
    <font>
      <color rgb="FF000000"/>
      <name val="Cambria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666699"/>
        <bgColor rgb="FF666699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</fills>
  <borders count="5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000000"/>
      </left>
      <top style="thick">
        <color rgb="FF000000"/>
      </top>
      <bottom style="thin">
        <color rgb="FFFFFFFF"/>
      </bottom>
    </border>
    <border>
      <right style="thin">
        <color rgb="FFFFFFFF"/>
      </right>
      <top style="thick">
        <color rgb="FF000000"/>
      </top>
      <bottom style="thin">
        <color rgb="FFFFFFFF"/>
      </bottom>
    </border>
    <border>
      <left style="thin">
        <color rgb="FFFFFFFF"/>
      </left>
      <top style="thick">
        <color rgb="FF000000"/>
      </top>
      <bottom style="thin">
        <color rgb="FFFFFFFF"/>
      </bottom>
    </border>
    <border>
      <top style="thick">
        <color rgb="FF000000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ck">
        <color rgb="FF000000"/>
      </right>
      <top style="thin">
        <color rgb="FFFFFFFF"/>
      </top>
    </border>
    <border>
      <left style="thick">
        <color rgb="FF000000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thick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ck">
        <color rgb="FF000000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left style="thick">
        <color rgb="FF000000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ck">
        <color rgb="FF000000"/>
      </right>
      <top style="thin">
        <color rgb="FFFFFFFF"/>
      </top>
      <bottom style="thin">
        <color rgb="FFFFFFFF"/>
      </bottom>
    </border>
    <border>
      <left style="thick">
        <color rgb="FFFFFFFF"/>
      </left>
      <top style="thick">
        <color rgb="FFFFFFFF"/>
      </top>
    </border>
    <border>
      <top style="thick">
        <color rgb="FFFFFFFF"/>
      </top>
    </border>
    <border>
      <right style="thick">
        <color rgb="FF000000"/>
      </right>
      <top style="thick">
        <color rgb="FFFFFFFF"/>
      </top>
    </border>
    <border>
      <left style="thick">
        <color rgb="FF000000"/>
      </left>
      <bottom style="thick">
        <color rgb="FF000000"/>
      </bottom>
    </border>
    <border>
      <right style="thin">
        <color rgb="FFFFFFFF"/>
      </right>
      <bottom style="thick">
        <color rgb="FF000000"/>
      </bottom>
    </border>
    <border>
      <left style="thin">
        <color rgb="FFFFFFFF"/>
      </left>
      <top style="thin">
        <color rgb="FFFFFFFF"/>
      </top>
      <bottom style="thick">
        <color rgb="FF000000"/>
      </bottom>
    </border>
    <border>
      <top style="thin">
        <color rgb="FFFFFFFF"/>
      </top>
      <bottom style="thick">
        <color rgb="FF000000"/>
      </bottom>
    </border>
    <border>
      <right style="thin">
        <color rgb="FFFFFFFF"/>
      </right>
      <top style="thin">
        <color rgb="FFFFFFFF"/>
      </top>
      <bottom style="thick">
        <color rgb="FF000000"/>
      </bottom>
    </border>
    <border>
      <left style="thick">
        <color rgb="FFFFFFFF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FFFFFF"/>
      </top>
      <bottom style="thick">
        <color rgb="FF000000"/>
      </bottom>
    </border>
    <border>
      <left style="thin">
        <color rgb="FFFFFFFF"/>
      </lef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n">
        <color rgb="FFFFFFFF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</border>
    <border>
      <right style="thick">
        <color rgb="FF000000"/>
      </right>
      <top style="thin">
        <color rgb="FFFFFFFF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4" fontId="6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4" numFmtId="3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ill="1" applyFont="1">
      <alignment horizontal="left" readingOrder="0" shrinkToFit="0" vertical="center" wrapText="1"/>
    </xf>
    <xf borderId="0" fillId="0" fontId="7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4" fillId="0" fontId="8" numFmtId="0" xfId="0" applyBorder="1" applyFont="1"/>
    <xf borderId="5" fillId="6" fontId="6" numFmtId="0" xfId="0" applyAlignment="1" applyBorder="1" applyFill="1" applyFont="1">
      <alignment horizontal="center" vertical="center"/>
    </xf>
    <xf borderId="6" fillId="0" fontId="8" numFmtId="0" xfId="0" applyBorder="1" applyFont="1"/>
    <xf borderId="1" fillId="0" fontId="9" numFmtId="0" xfId="0" applyAlignment="1" applyBorder="1" applyFont="1">
      <alignment readingOrder="0" shrinkToFit="0" vertical="center" wrapText="1"/>
    </xf>
    <xf borderId="7" fillId="7" fontId="10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vertical="center"/>
    </xf>
    <xf borderId="8" fillId="0" fontId="8" numFmtId="0" xfId="0" applyBorder="1" applyFont="1"/>
    <xf borderId="9" fillId="0" fontId="8" numFmtId="0" xfId="0" applyBorder="1" applyFont="1"/>
    <xf borderId="1" fillId="0" fontId="9" numFmtId="0" xfId="0" applyAlignment="1" applyBorder="1" applyFont="1">
      <alignment shrinkToFit="0" vertical="center" wrapText="1"/>
    </xf>
    <xf borderId="10" fillId="0" fontId="8" numFmtId="0" xfId="0" applyBorder="1" applyFont="1"/>
    <xf borderId="11" fillId="0" fontId="5" numFmtId="0" xfId="0" applyAlignment="1" applyBorder="1" applyFont="1">
      <alignment vertical="center"/>
    </xf>
    <xf borderId="12" fillId="0" fontId="8" numFmtId="0" xfId="0" applyBorder="1" applyFont="1"/>
    <xf borderId="13" fillId="0" fontId="8" numFmtId="0" xfId="0" applyBorder="1" applyFont="1"/>
    <xf borderId="1" fillId="0" fontId="10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4" fillId="8" fontId="1" numFmtId="0" xfId="0" applyAlignment="1" applyBorder="1" applyFill="1" applyFont="1">
      <alignment horizontal="center" shrinkToFit="0" vertical="center" wrapText="1"/>
    </xf>
    <xf borderId="15" fillId="0" fontId="5" numFmtId="0" xfId="0" applyAlignment="1" applyBorder="1" applyFont="1">
      <alignment vertical="center"/>
    </xf>
    <xf borderId="16" fillId="0" fontId="8" numFmtId="0" xfId="0" applyBorder="1" applyFont="1"/>
    <xf borderId="7" fillId="9" fontId="11" numFmtId="0" xfId="0" applyAlignment="1" applyBorder="1" applyFill="1" applyFont="1">
      <alignment horizontal="center" readingOrder="0" shrinkToFit="0" vertical="center" wrapText="1"/>
    </xf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20" fillId="0" fontId="8" numFmtId="0" xfId="0" applyBorder="1" applyFont="1"/>
    <xf borderId="21" fillId="0" fontId="8" numFmtId="0" xfId="0" applyBorder="1" applyFont="1"/>
    <xf borderId="1" fillId="0" fontId="11" numFmtId="0" xfId="0" applyAlignment="1" applyBorder="1" applyFont="1">
      <alignment readingOrder="0" shrinkToFit="0" vertical="center" wrapText="1"/>
    </xf>
    <xf borderId="22" fillId="0" fontId="8" numFmtId="0" xfId="0" applyBorder="1" applyFont="1"/>
    <xf borderId="0" fillId="0" fontId="4" numFmtId="0" xfId="0" applyAlignment="1" applyFont="1">
      <alignment readingOrder="0" vertical="center"/>
    </xf>
    <xf borderId="23" fillId="0" fontId="8" numFmtId="0" xfId="0" applyBorder="1" applyFont="1"/>
    <xf borderId="24" fillId="0" fontId="8" numFmtId="0" xfId="0" applyBorder="1" applyFont="1"/>
    <xf borderId="25" fillId="0" fontId="8" numFmtId="0" xfId="0" applyBorder="1" applyFont="1"/>
    <xf borderId="14" fillId="0" fontId="5" numFmtId="0" xfId="0" applyAlignment="1" applyBorder="1" applyFont="1">
      <alignment vertical="center"/>
    </xf>
    <xf borderId="1" fillId="10" fontId="11" numFmtId="0" xfId="0" applyAlignment="1" applyBorder="1" applyFill="1" applyFont="1">
      <alignment readingOrder="0" shrinkToFit="0" vertical="center" wrapText="1"/>
    </xf>
    <xf borderId="1" fillId="0" fontId="7" numFmtId="0" xfId="0" applyAlignment="1" applyBorder="1" applyFont="1">
      <alignment vertical="center"/>
    </xf>
    <xf borderId="26" fillId="11" fontId="3" numFmtId="0" xfId="0" applyAlignment="1" applyBorder="1" applyFill="1" applyFont="1">
      <alignment horizontal="center" vertical="center"/>
    </xf>
    <xf quotePrefix="1" borderId="1" fillId="0" fontId="7" numFmtId="0" xfId="0" applyAlignment="1" applyBorder="1" applyFont="1">
      <alignment shrinkToFit="0" vertical="center" wrapText="1"/>
    </xf>
    <xf borderId="27" fillId="0" fontId="8" numFmtId="0" xfId="0" applyBorder="1" applyFont="1"/>
    <xf borderId="28" fillId="0" fontId="8" numFmtId="0" xfId="0" applyBorder="1" applyFont="1"/>
    <xf borderId="1" fillId="10" fontId="9" numFmtId="0" xfId="0" applyAlignment="1" applyBorder="1" applyFont="1">
      <alignment readingOrder="0" shrinkToFit="0" vertical="center" wrapText="1"/>
    </xf>
    <xf borderId="29" fillId="0" fontId="8" numFmtId="0" xfId="0" applyBorder="1" applyFont="1"/>
    <xf borderId="7" fillId="7" fontId="10" numFmtId="0" xfId="0" applyAlignment="1" applyBorder="1" applyFont="1">
      <alignment horizontal="center" readingOrder="0" shrinkToFit="0" vertical="center" wrapText="1"/>
    </xf>
    <xf borderId="30" fillId="0" fontId="8" numFmtId="0" xfId="0" applyBorder="1" applyFont="1"/>
    <xf borderId="31" fillId="12" fontId="1" numFmtId="0" xfId="0" applyAlignment="1" applyBorder="1" applyFill="1" applyFont="1">
      <alignment horizontal="center" vertical="center"/>
    </xf>
    <xf borderId="32" fillId="0" fontId="5" numFmtId="0" xfId="0" applyAlignment="1" applyBorder="1" applyFont="1">
      <alignment vertical="center"/>
    </xf>
    <xf borderId="1" fillId="0" fontId="10" numFmtId="0" xfId="0" applyAlignment="1" applyBorder="1" applyFont="1">
      <alignment horizontal="center" readingOrder="0" shrinkToFit="0" vertical="center" wrapText="1"/>
    </xf>
    <xf borderId="26" fillId="12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readingOrder="0" shrinkToFit="0" vertical="center" wrapText="1"/>
    </xf>
    <xf borderId="33" fillId="0" fontId="8" numFmtId="0" xfId="0" applyBorder="1" applyFont="1"/>
    <xf borderId="1" fillId="0" fontId="7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26" fillId="0" fontId="5" numFmtId="0" xfId="0" applyAlignment="1" applyBorder="1" applyFont="1">
      <alignment vertical="center"/>
    </xf>
    <xf borderId="1" fillId="0" fontId="4" numFmtId="0" xfId="0" applyAlignment="1" applyBorder="1" applyFont="1">
      <alignment readingOrder="0" shrinkToFit="0" vertical="center" wrapText="1"/>
    </xf>
    <xf borderId="26" fillId="13" fontId="12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readingOrder="0" vertical="center"/>
    </xf>
    <xf borderId="34" fillId="0" fontId="5" numFmtId="0" xfId="0" applyAlignment="1" applyBorder="1" applyFont="1">
      <alignment vertical="center"/>
    </xf>
    <xf borderId="35" fillId="0" fontId="8" numFmtId="0" xfId="0" applyBorder="1" applyFont="1"/>
    <xf borderId="36" fillId="0" fontId="8" numFmtId="0" xfId="0" applyBorder="1" applyFont="1"/>
    <xf borderId="37" fillId="0" fontId="8" numFmtId="0" xfId="0" applyBorder="1" applyFont="1"/>
    <xf borderId="38" fillId="0" fontId="8" numFmtId="0" xfId="0" applyBorder="1" applyFont="1"/>
    <xf borderId="39" fillId="14" fontId="1" numFmtId="0" xfId="0" applyAlignment="1" applyBorder="1" applyFill="1" applyFont="1">
      <alignment horizontal="center" vertical="center"/>
    </xf>
    <xf borderId="40" fillId="0" fontId="8" numFmtId="0" xfId="0" applyBorder="1" applyFont="1"/>
    <xf borderId="41" fillId="0" fontId="8" numFmtId="0" xfId="0" applyBorder="1" applyFont="1"/>
    <xf borderId="42" fillId="0" fontId="8" numFmtId="0" xfId="0" applyBorder="1" applyFont="1"/>
    <xf borderId="43" fillId="0" fontId="8" numFmtId="0" xfId="0" applyBorder="1" applyFont="1"/>
    <xf borderId="44" fillId="0" fontId="8" numFmtId="0" xfId="0" applyBorder="1" applyFont="1"/>
    <xf borderId="29" fillId="0" fontId="5" numFmtId="0" xfId="0" applyAlignment="1" applyBorder="1" applyFont="1">
      <alignment vertical="center"/>
    </xf>
    <xf borderId="32" fillId="13" fontId="12" numFmtId="0" xfId="0" applyAlignment="1" applyBorder="1" applyFont="1">
      <alignment horizontal="center" vertical="center"/>
    </xf>
    <xf borderId="26" fillId="15" fontId="1" numFmtId="0" xfId="0" applyAlignment="1" applyBorder="1" applyFill="1" applyFont="1">
      <alignment horizontal="center" vertical="center"/>
    </xf>
    <xf borderId="14" fillId="16" fontId="1" numFmtId="0" xfId="0" applyAlignment="1" applyBorder="1" applyFill="1" applyFont="1">
      <alignment horizontal="center" shrinkToFit="0" vertical="center" wrapText="1"/>
    </xf>
    <xf borderId="7" fillId="2" fontId="13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0" fontId="15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vertical="center"/>
    </xf>
    <xf borderId="43" fillId="0" fontId="5" numFmtId="0" xfId="0" applyAlignment="1" applyBorder="1" applyFont="1">
      <alignment vertical="center"/>
    </xf>
    <xf borderId="23" fillId="0" fontId="5" numFmtId="0" xfId="0" applyAlignment="1" applyBorder="1" applyFont="1">
      <alignment vertical="center"/>
    </xf>
    <xf borderId="29" fillId="6" fontId="6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31" fillId="8" fontId="1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readingOrder="0" vertical="center"/>
    </xf>
    <xf borderId="31" fillId="0" fontId="5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32" fillId="13" fontId="2" numFmtId="0" xfId="0" applyAlignment="1" applyBorder="1" applyFont="1">
      <alignment horizontal="center" vertical="center"/>
    </xf>
    <xf borderId="26" fillId="14" fontId="1" numFmtId="0" xfId="0" applyAlignment="1" applyBorder="1" applyFont="1">
      <alignment horizontal="center" vertical="center"/>
    </xf>
    <xf borderId="45" fillId="0" fontId="5" numFmtId="0" xfId="0" applyAlignment="1" applyBorder="1" applyFont="1">
      <alignment vertical="center"/>
    </xf>
    <xf borderId="46" fillId="0" fontId="8" numFmtId="0" xfId="0" applyBorder="1" applyFont="1"/>
    <xf borderId="0" fillId="13" fontId="12" numFmtId="0" xfId="0" applyAlignment="1" applyFont="1">
      <alignment horizontal="center" shrinkToFit="0" vertical="center" wrapText="1"/>
    </xf>
    <xf borderId="0" fillId="15" fontId="1" numFmtId="0" xfId="0" applyAlignment="1" applyFont="1">
      <alignment horizontal="center" vertical="center"/>
    </xf>
    <xf borderId="19" fillId="0" fontId="5" numFmtId="0" xfId="0" applyAlignment="1" applyBorder="1" applyFont="1">
      <alignment vertical="center"/>
    </xf>
    <xf borderId="20" fillId="0" fontId="5" numFmtId="0" xfId="0" applyAlignment="1" applyBorder="1" applyFont="1">
      <alignment vertical="center"/>
    </xf>
    <xf borderId="47" fillId="0" fontId="5" numFmtId="0" xfId="0" applyAlignment="1" applyBorder="1" applyFont="1">
      <alignment vertical="center"/>
    </xf>
    <xf borderId="48" fillId="0" fontId="8" numFmtId="0" xfId="0" applyBorder="1" applyFont="1"/>
    <xf borderId="49" fillId="0" fontId="5" numFmtId="0" xfId="0" applyAlignment="1" applyBorder="1" applyFont="1">
      <alignment vertical="center"/>
    </xf>
    <xf borderId="50" fillId="0" fontId="8" numFmtId="0" xfId="0" applyBorder="1" applyFont="1"/>
    <xf borderId="15" fillId="11" fontId="3" numFmtId="0" xfId="0" applyAlignment="1" applyBorder="1" applyFont="1">
      <alignment horizontal="center" vertical="center"/>
    </xf>
    <xf borderId="26" fillId="6" fontId="6" numFmtId="0" xfId="0" applyAlignment="1" applyBorder="1" applyFont="1">
      <alignment horizontal="center" vertical="center"/>
    </xf>
    <xf borderId="26" fillId="8" fontId="1" numFmtId="0" xfId="0" applyAlignment="1" applyBorder="1" applyFont="1">
      <alignment horizontal="center" shrinkToFit="0" vertical="center" wrapText="1"/>
    </xf>
    <xf borderId="51" fillId="13" fontId="2" numFmtId="0" xfId="0" applyAlignment="1" applyBorder="1" applyFont="1">
      <alignment horizontal="center" vertical="center"/>
    </xf>
    <xf borderId="39" fillId="0" fontId="5" numFmtId="0" xfId="0" applyAlignment="1" applyBorder="1" applyFont="1">
      <alignment vertical="center"/>
    </xf>
    <xf borderId="52" fillId="0" fontId="5" numFmtId="0" xfId="0" applyAlignment="1" applyBorder="1" applyFont="1">
      <alignment vertical="center"/>
    </xf>
    <xf borderId="53" fillId="0" fontId="8" numFmtId="0" xfId="0" applyBorder="1" applyFont="1"/>
    <xf borderId="29" fillId="14" fontId="1" numFmtId="0" xfId="0" applyAlignment="1" applyBorder="1" applyFont="1">
      <alignment horizontal="center" vertical="center"/>
    </xf>
    <xf borderId="32" fillId="13" fontId="1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vertical="center"/>
    </xf>
    <xf borderId="1" fillId="7" fontId="10" numFmtId="0" xfId="0" applyAlignment="1" applyBorder="1" applyFont="1">
      <alignment horizontal="center" vertical="center"/>
    </xf>
    <xf borderId="1" fillId="7" fontId="10" numFmtId="0" xfId="0" applyAlignment="1" applyBorder="1" applyFont="1">
      <alignment horizontal="center"/>
    </xf>
    <xf borderId="0" fillId="0" fontId="5" numFmtId="0" xfId="0" applyFont="1"/>
    <xf borderId="54" fillId="0" fontId="10" numFmtId="164" xfId="0" applyAlignment="1" applyBorder="1" applyFont="1" applyNumberFormat="1">
      <alignment horizontal="center" readingOrder="0" vertical="center"/>
    </xf>
    <xf borderId="1" fillId="0" fontId="7" numFmtId="0" xfId="0" applyBorder="1" applyFont="1"/>
    <xf borderId="1" fillId="0" fontId="7" numFmtId="0" xfId="0" applyAlignment="1" applyBorder="1" applyFont="1">
      <alignment horizontal="right"/>
    </xf>
    <xf borderId="55" fillId="0" fontId="8" numFmtId="0" xfId="0" applyBorder="1" applyFont="1"/>
    <xf borderId="1" fillId="0" fontId="7" numFmtId="0" xfId="0" applyAlignment="1" applyBorder="1" applyFont="1">
      <alignment horizontal="right" readingOrder="0"/>
    </xf>
    <xf borderId="0" fillId="0" fontId="5" numFmtId="0" xfId="0" applyAlignment="1" applyFont="1">
      <alignment horizontal="right"/>
    </xf>
    <xf borderId="56" fillId="0" fontId="8" numFmtId="0" xfId="0" applyBorder="1" applyFont="1"/>
    <xf borderId="1" fillId="0" fontId="5" numFmtId="0" xfId="0" applyBorder="1" applyFont="1"/>
    <xf borderId="1" fillId="2" fontId="10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2.0"/>
    <col customWidth="1" min="3" max="3" width="64.38"/>
    <col customWidth="1" min="4" max="4" width="20.63"/>
    <col customWidth="1" min="5" max="5" width="44.0"/>
  </cols>
  <sheetData>
    <row r="1">
      <c r="A1" s="6" t="s">
        <v>1</v>
      </c>
      <c r="B1" s="6" t="s">
        <v>8</v>
      </c>
      <c r="C1" s="6" t="s">
        <v>10</v>
      </c>
      <c r="D1" s="6" t="s">
        <v>12</v>
      </c>
      <c r="E1" s="9" t="s">
        <v>6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8" t="s">
        <v>16</v>
      </c>
      <c r="B2" s="18" t="s">
        <v>18</v>
      </c>
      <c r="C2" s="18" t="s">
        <v>19</v>
      </c>
      <c r="D2" s="18" t="s">
        <v>20</v>
      </c>
      <c r="E2" s="2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8" t="s">
        <v>22</v>
      </c>
      <c r="B3" s="18" t="s">
        <v>23</v>
      </c>
      <c r="C3" s="29" t="s">
        <v>24</v>
      </c>
      <c r="D3" s="18" t="s">
        <v>20</v>
      </c>
      <c r="E3" s="2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4" t="s">
        <v>30</v>
      </c>
      <c r="B4" s="21"/>
      <c r="C4" s="21"/>
      <c r="D4" s="21"/>
      <c r="E4" s="24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8" t="s">
        <v>36</v>
      </c>
      <c r="B5" s="18" t="s">
        <v>37</v>
      </c>
      <c r="C5" s="40" t="s">
        <v>38</v>
      </c>
      <c r="D5" s="18" t="s">
        <v>39</v>
      </c>
      <c r="E5" s="23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8" t="s">
        <v>45</v>
      </c>
      <c r="B6" s="18" t="s">
        <v>46</v>
      </c>
      <c r="C6" s="40" t="s">
        <v>47</v>
      </c>
      <c r="D6" s="18" t="s">
        <v>48</v>
      </c>
      <c r="E6" s="23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8" t="s">
        <v>53</v>
      </c>
      <c r="B7" s="18" t="s">
        <v>54</v>
      </c>
      <c r="C7" s="47" t="s">
        <v>55</v>
      </c>
      <c r="D7" s="18" t="s">
        <v>57</v>
      </c>
      <c r="E7" s="23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8" t="s">
        <v>60</v>
      </c>
      <c r="B8" s="18" t="s">
        <v>61</v>
      </c>
      <c r="C8" s="53" t="s">
        <v>62</v>
      </c>
      <c r="D8" s="18" t="s">
        <v>57</v>
      </c>
      <c r="E8" s="23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8" t="s">
        <v>66</v>
      </c>
      <c r="B9" s="18" t="s">
        <v>54</v>
      </c>
      <c r="C9" s="53" t="s">
        <v>68</v>
      </c>
      <c r="D9" s="18" t="s">
        <v>69</v>
      </c>
      <c r="E9" s="23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34" t="s">
        <v>71</v>
      </c>
      <c r="B10" s="21"/>
      <c r="C10" s="21"/>
      <c r="D10" s="21"/>
      <c r="E10" s="24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8" t="s">
        <v>74</v>
      </c>
      <c r="B11" s="18" t="s">
        <v>54</v>
      </c>
      <c r="C11" s="40" t="s">
        <v>75</v>
      </c>
      <c r="D11" s="18" t="s">
        <v>76</v>
      </c>
      <c r="E11" s="23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8" t="s">
        <v>80</v>
      </c>
      <c r="B12" s="18" t="s">
        <v>54</v>
      </c>
      <c r="C12" s="18" t="s">
        <v>81</v>
      </c>
      <c r="D12" s="18" t="s">
        <v>57</v>
      </c>
      <c r="E12" s="23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8" t="s">
        <v>83</v>
      </c>
      <c r="B13" s="18" t="s">
        <v>84</v>
      </c>
      <c r="C13" s="18" t="s">
        <v>85</v>
      </c>
      <c r="D13" s="18" t="s">
        <v>57</v>
      </c>
      <c r="E13" s="18" t="s">
        <v>86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6" t="s">
        <v>89</v>
      </c>
      <c r="B14" s="66" t="s">
        <v>92</v>
      </c>
      <c r="C14" s="66" t="s">
        <v>93</v>
      </c>
      <c r="D14" s="66" t="s">
        <v>57</v>
      </c>
      <c r="E14" s="66" t="s">
        <v>94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8" t="s">
        <v>95</v>
      </c>
      <c r="B15" s="18" t="s">
        <v>97</v>
      </c>
      <c r="C15" s="18" t="s">
        <v>98</v>
      </c>
      <c r="D15" s="18" t="s">
        <v>57</v>
      </c>
      <c r="E15" s="23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66" t="s">
        <v>100</v>
      </c>
      <c r="B16" s="66" t="s">
        <v>92</v>
      </c>
      <c r="C16" s="66" t="s">
        <v>102</v>
      </c>
      <c r="D16" s="66" t="s">
        <v>57</v>
      </c>
      <c r="E16" s="66" t="s">
        <v>103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8" t="s">
        <v>105</v>
      </c>
      <c r="B17" s="18" t="s">
        <v>97</v>
      </c>
      <c r="C17" s="18" t="s">
        <v>107</v>
      </c>
      <c r="D17" s="18" t="s">
        <v>20</v>
      </c>
      <c r="E17" s="23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8" t="s">
        <v>110</v>
      </c>
      <c r="B18" s="18" t="s">
        <v>111</v>
      </c>
      <c r="C18" s="18" t="s">
        <v>112</v>
      </c>
      <c r="D18" s="18" t="s">
        <v>113</v>
      </c>
      <c r="E18" s="18" t="s">
        <v>114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8" t="s">
        <v>115</v>
      </c>
      <c r="B19" s="18" t="s">
        <v>116</v>
      </c>
      <c r="C19" s="18" t="s">
        <v>117</v>
      </c>
      <c r="D19" s="18" t="s">
        <v>48</v>
      </c>
      <c r="E19" s="23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2">
    <mergeCell ref="A4:E4"/>
    <mergeCell ref="A10:E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3" max="3" width="39.75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9</v>
      </c>
      <c r="B2" s="8">
        <v>7000000.0</v>
      </c>
      <c r="C2" s="12" t="s">
        <v>14</v>
      </c>
      <c r="D2" s="1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21</v>
      </c>
      <c r="B3" s="8">
        <v>5000000.0</v>
      </c>
      <c r="C3" s="12" t="s">
        <v>14</v>
      </c>
      <c r="D3" s="1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29</v>
      </c>
      <c r="B4" s="8">
        <v>3000000.0</v>
      </c>
      <c r="C4" s="12" t="s">
        <v>14</v>
      </c>
      <c r="D4" s="1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32</v>
      </c>
      <c r="B5" s="8">
        <v>1500000.0</v>
      </c>
      <c r="C5" s="12" t="s">
        <v>34</v>
      </c>
      <c r="D5" s="1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0" customHeight="1">
      <c r="A6" s="42" t="s">
        <v>43</v>
      </c>
      <c r="B6" s="4"/>
      <c r="C6" s="42" t="s">
        <v>44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5.5" customHeight="1">
      <c r="A7" s="42" t="s">
        <v>51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1.5"/>
    <col customWidth="1" min="3" max="3" width="31.13"/>
    <col customWidth="1" min="4" max="4" width="50.38"/>
  </cols>
  <sheetData>
    <row r="1" ht="18.75" customHeight="1">
      <c r="A1" s="2" t="s">
        <v>2</v>
      </c>
      <c r="B1" s="2" t="s">
        <v>7</v>
      </c>
      <c r="C1" s="2" t="s">
        <v>11</v>
      </c>
      <c r="D1" s="2" t="s">
        <v>13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9" t="s">
        <v>17</v>
      </c>
      <c r="B2" s="21"/>
      <c r="C2" s="21"/>
      <c r="D2" s="24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28">
        <v>1.0</v>
      </c>
      <c r="B3" s="30" t="s">
        <v>26</v>
      </c>
      <c r="C3" s="30" t="s">
        <v>27</v>
      </c>
      <c r="D3" s="30" t="s">
        <v>28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28">
        <v>2.0</v>
      </c>
      <c r="B4" s="30" t="s">
        <v>31</v>
      </c>
      <c r="C4" s="30" t="s">
        <v>33</v>
      </c>
      <c r="D4" s="30" t="s">
        <v>35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28">
        <v>3.0</v>
      </c>
      <c r="B5" s="30" t="s">
        <v>40</v>
      </c>
      <c r="C5" s="30" t="s">
        <v>41</v>
      </c>
      <c r="D5" s="30" t="s">
        <v>42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28">
        <v>4.0</v>
      </c>
      <c r="B6" s="30" t="s">
        <v>49</v>
      </c>
      <c r="C6" s="30" t="s">
        <v>50</v>
      </c>
      <c r="D6" s="30" t="s">
        <v>52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28">
        <v>5.0</v>
      </c>
      <c r="B7" s="30" t="s">
        <v>56</v>
      </c>
      <c r="C7" s="48"/>
      <c r="D7" s="50" t="s">
        <v>59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28">
        <v>6.0</v>
      </c>
      <c r="B8" s="30" t="s">
        <v>63</v>
      </c>
      <c r="C8" s="30" t="s">
        <v>64</v>
      </c>
      <c r="D8" s="30" t="s">
        <v>65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55" t="s">
        <v>67</v>
      </c>
      <c r="B9" s="21"/>
      <c r="C9" s="21"/>
      <c r="D9" s="24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59">
        <v>1.0</v>
      </c>
      <c r="B10" s="30" t="s">
        <v>31</v>
      </c>
      <c r="C10" s="30" t="s">
        <v>33</v>
      </c>
      <c r="D10" s="61" t="s">
        <v>73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59">
        <v>2.0</v>
      </c>
      <c r="B11" s="63" t="s">
        <v>77</v>
      </c>
      <c r="C11" s="63" t="s">
        <v>78</v>
      </c>
      <c r="D11" s="61" t="s">
        <v>79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9" t="s">
        <v>82</v>
      </c>
      <c r="B12" s="21"/>
      <c r="C12" s="21"/>
      <c r="D12" s="2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64">
        <v>1.0</v>
      </c>
      <c r="B13" s="63" t="s">
        <v>87</v>
      </c>
      <c r="C13" s="30" t="s">
        <v>33</v>
      </c>
      <c r="D13" s="30" t="s">
        <v>88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64">
        <v>2.0</v>
      </c>
      <c r="B14" s="68" t="s">
        <v>91</v>
      </c>
      <c r="C14" s="30" t="s">
        <v>33</v>
      </c>
      <c r="D14" s="30" t="s">
        <v>88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64">
        <v>3.0</v>
      </c>
      <c r="B15" s="63" t="s">
        <v>99</v>
      </c>
      <c r="C15" s="30" t="s">
        <v>33</v>
      </c>
      <c r="D15" s="30" t="s">
        <v>88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64">
        <v>4.0</v>
      </c>
      <c r="B16" s="63" t="s">
        <v>101</v>
      </c>
      <c r="C16" s="30" t="s">
        <v>33</v>
      </c>
      <c r="D16" s="30" t="s">
        <v>88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64">
        <v>5.0</v>
      </c>
      <c r="B17" s="63" t="s">
        <v>104</v>
      </c>
      <c r="C17" s="30" t="s">
        <v>33</v>
      </c>
      <c r="D17" s="30" t="s">
        <v>88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64">
        <v>6.0</v>
      </c>
      <c r="B18" s="68" t="s">
        <v>108</v>
      </c>
      <c r="C18" s="30" t="s">
        <v>33</v>
      </c>
      <c r="D18" s="30" t="s">
        <v>88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9" t="s">
        <v>58</v>
      </c>
      <c r="B19" s="21"/>
      <c r="C19" s="21"/>
      <c r="D19" s="2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84" t="s">
        <v>118</v>
      </c>
      <c r="B20" s="21"/>
      <c r="C20" s="21"/>
      <c r="D20" s="2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85">
        <v>1.0</v>
      </c>
      <c r="B21" s="63" t="s">
        <v>104</v>
      </c>
      <c r="C21" s="30" t="s">
        <v>33</v>
      </c>
      <c r="D21" s="4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85">
        <v>2.0</v>
      </c>
      <c r="B22" s="68" t="s">
        <v>91</v>
      </c>
      <c r="C22" s="30" t="s">
        <v>33</v>
      </c>
      <c r="D22" s="48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84" t="s">
        <v>119</v>
      </c>
      <c r="B23" s="21"/>
      <c r="C23" s="21"/>
      <c r="D23" s="2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85">
        <v>1.0</v>
      </c>
      <c r="B24" s="63" t="s">
        <v>99</v>
      </c>
      <c r="C24" s="30" t="s">
        <v>33</v>
      </c>
      <c r="D24" s="48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85">
        <v>2.0</v>
      </c>
      <c r="B25" s="63" t="s">
        <v>101</v>
      </c>
      <c r="C25" s="30" t="s">
        <v>33</v>
      </c>
      <c r="D25" s="4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84" t="s">
        <v>120</v>
      </c>
      <c r="B26" s="21"/>
      <c r="C26" s="21"/>
      <c r="D26" s="2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86">
        <v>1.0</v>
      </c>
      <c r="B27" s="63" t="s">
        <v>87</v>
      </c>
      <c r="C27" s="87" t="s">
        <v>33</v>
      </c>
      <c r="D27" s="88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86">
        <v>2.0</v>
      </c>
      <c r="B28" s="68" t="s">
        <v>108</v>
      </c>
      <c r="C28" s="87" t="s">
        <v>33</v>
      </c>
      <c r="D28" s="8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84" t="s">
        <v>122</v>
      </c>
      <c r="B29" s="21"/>
      <c r="C29" s="21"/>
      <c r="D29" s="24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92">
        <v>1.0</v>
      </c>
      <c r="B30" s="87" t="s">
        <v>26</v>
      </c>
      <c r="C30" s="87" t="s">
        <v>27</v>
      </c>
      <c r="D30" s="8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92">
        <v>2.0</v>
      </c>
      <c r="B31" s="87" t="s">
        <v>124</v>
      </c>
      <c r="C31" s="87" t="s">
        <v>33</v>
      </c>
      <c r="D31" s="8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92">
        <v>3.0</v>
      </c>
      <c r="B32" s="87" t="s">
        <v>31</v>
      </c>
      <c r="C32" s="87" t="s">
        <v>33</v>
      </c>
      <c r="D32" s="88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92">
        <v>4.0</v>
      </c>
      <c r="B33" s="94" t="s">
        <v>125</v>
      </c>
      <c r="C33" s="94" t="s">
        <v>126</v>
      </c>
      <c r="D33" s="95" t="s">
        <v>127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92">
        <v>5.0</v>
      </c>
      <c r="B34" s="87"/>
      <c r="C34" s="94" t="s">
        <v>126</v>
      </c>
      <c r="D34" s="88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97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97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97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97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97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97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97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97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97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9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9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97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97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97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97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97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97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97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97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97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97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97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97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97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97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97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97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97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97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97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97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97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97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97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97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97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97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97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97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97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97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97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97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97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97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97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97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97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97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97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97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97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97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97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97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97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97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97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97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97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97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97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97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97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97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97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97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97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97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97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97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97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97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97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97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97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97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97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97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97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97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97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97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97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97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97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97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97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97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97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97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9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97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97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97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97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97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97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97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97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97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97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97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97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97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97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97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97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97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97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97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97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97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97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97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97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97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97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97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97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97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97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97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97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97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97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97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97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97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97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97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97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97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97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97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97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97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97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97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97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97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97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97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97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97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97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97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97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97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97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97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97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97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97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97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97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97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97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97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97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97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97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97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97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97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97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97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97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97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97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97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97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97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97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97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97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97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97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97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97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97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97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97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97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97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97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97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97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97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97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97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97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97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97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97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97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97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97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97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97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97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97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97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97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97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97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97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97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97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97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97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97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97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97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97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97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97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97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97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97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97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97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97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97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97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97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97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97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97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97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97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97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97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97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97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97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97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97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97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97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97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97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97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97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97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97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97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97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97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97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97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97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97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97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97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97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97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97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97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97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97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97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97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97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97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97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9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9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9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9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9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9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9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9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9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9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97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97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97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97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97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97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97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97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97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97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97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97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97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97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97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97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97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97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97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97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97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97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97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97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97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97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97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97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97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97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97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97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97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97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97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97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97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97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97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97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97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97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97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97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97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97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97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97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97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97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97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97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97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97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97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97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97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97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97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97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97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97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97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97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97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97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97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97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97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97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97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97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97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97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97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97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97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97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97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97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97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97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97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97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97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97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97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97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97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97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97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97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97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97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97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97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97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97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97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97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97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97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97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97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97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97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97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97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97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97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97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97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97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97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97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97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97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97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97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97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97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97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97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97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97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97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97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97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97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97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97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97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97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97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97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97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97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97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97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97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97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97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97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97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97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97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97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97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97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97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97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97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97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97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97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97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97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97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97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97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97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97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97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97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97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97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97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97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97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97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97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97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97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97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97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97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97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97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97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97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97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97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97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97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97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97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97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97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97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97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97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97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97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97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97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97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97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97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97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97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97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97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97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97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97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97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97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97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97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97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97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97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97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97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97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97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97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97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97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97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97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97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97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97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97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97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97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97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97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97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97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97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97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97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97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97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97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97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97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97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97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97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97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97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97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97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97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97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97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97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97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97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97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97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97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97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97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97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97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97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97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97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97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97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97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97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97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97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97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97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97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97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97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97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97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97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97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97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97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97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97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97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97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97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97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97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97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97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97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97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97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97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97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97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97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97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97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97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97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97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97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97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97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97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97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97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97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97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97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97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97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97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97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97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97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97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97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97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97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97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97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97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97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97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97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97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97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97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97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97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97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97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97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97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97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97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97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97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97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97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97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97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97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97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97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97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97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97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97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97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97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97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97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97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97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97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97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97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97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97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97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97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97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97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97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97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97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97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97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97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97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97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97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97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97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97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97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97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97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97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97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97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97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97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97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97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97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97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97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97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97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97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97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97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97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97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97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97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97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97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97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97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97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97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97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97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97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97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97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97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97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97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97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97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97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97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97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97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97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97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97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97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97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97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97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97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97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97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97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97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97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97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97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97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97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97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97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97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97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97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97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97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97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97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97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97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97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97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97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97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97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97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97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97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97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97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97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97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97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97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97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97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97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97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97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97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97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97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97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97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97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97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97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97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97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97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97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97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97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97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97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97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97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97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97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97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97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97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97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97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97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97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97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97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97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97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97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97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97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97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97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97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97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97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97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97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97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97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97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97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97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97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97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97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97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97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97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97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97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97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97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97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97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97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97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97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97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97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97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97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97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97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97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97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97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97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97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97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97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97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97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97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97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97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97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97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97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97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97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97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97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97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97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97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97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97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97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97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97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97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97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97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97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97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97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97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97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97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97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97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97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97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97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97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97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97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97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97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97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97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97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97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97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97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97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97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97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97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97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97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97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97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97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97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97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97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97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97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97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97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97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97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97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97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97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97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97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97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97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97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97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97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97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97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97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97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97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97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97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97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97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97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97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97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97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97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97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97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97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97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97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97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97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97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97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97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97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97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97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97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97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97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97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97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97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97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97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97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97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97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97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97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97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97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97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97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97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97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97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97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97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97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97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97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97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97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97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97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97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97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97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97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97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97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97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97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97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97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97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97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97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97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97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97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97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97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97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97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97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>
      <c r="A1000" s="97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>
      <c r="A1001" s="97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>
      <c r="A1002" s="97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>
      <c r="A1003" s="97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</row>
    <row r="1004">
      <c r="A1004" s="97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</row>
    <row r="1005">
      <c r="A1005" s="97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</row>
    <row r="1006">
      <c r="A1006" s="97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</row>
    <row r="1007">
      <c r="A1007" s="97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</row>
  </sheetData>
  <mergeCells count="8">
    <mergeCell ref="A2:D2"/>
    <mergeCell ref="A9:D9"/>
    <mergeCell ref="A12:D12"/>
    <mergeCell ref="A19:D19"/>
    <mergeCell ref="A20:D20"/>
    <mergeCell ref="A23:D23"/>
    <mergeCell ref="A26:D26"/>
    <mergeCell ref="A29:D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3"/>
      <c r="B3" s="15"/>
      <c r="C3" s="16" t="s">
        <v>15</v>
      </c>
      <c r="D3" s="17"/>
      <c r="E3" s="15"/>
      <c r="F3" s="20"/>
      <c r="G3" s="17"/>
      <c r="H3" s="2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5"/>
      <c r="B4" s="26"/>
      <c r="C4" s="26"/>
      <c r="D4" s="26"/>
      <c r="E4" s="27"/>
      <c r="F4" s="31" t="s">
        <v>25</v>
      </c>
      <c r="G4" s="32"/>
      <c r="H4" s="3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5"/>
      <c r="E5" s="36"/>
      <c r="F5" s="37"/>
      <c r="G5" s="38"/>
      <c r="H5" s="3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5"/>
      <c r="E6" s="36"/>
      <c r="F6" s="37"/>
      <c r="G6" s="38"/>
      <c r="H6" s="3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5"/>
      <c r="E7" s="36"/>
      <c r="F7" s="41"/>
      <c r="G7" s="38"/>
      <c r="H7" s="3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3"/>
      <c r="B8" s="44"/>
      <c r="C8" s="44"/>
      <c r="D8" s="44"/>
      <c r="E8" s="45"/>
      <c r="F8" s="46"/>
      <c r="G8" s="38"/>
      <c r="H8" s="3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5"/>
      <c r="B9" s="27"/>
      <c r="C9" s="49" t="s">
        <v>58</v>
      </c>
      <c r="D9" s="51"/>
      <c r="E9" s="52"/>
      <c r="F9" s="37"/>
      <c r="G9" s="38"/>
      <c r="H9" s="3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5"/>
      <c r="B10" s="36"/>
      <c r="C10" s="32"/>
      <c r="D10" s="26"/>
      <c r="E10" s="27"/>
      <c r="F10" s="37"/>
      <c r="G10" s="38"/>
      <c r="H10" s="3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3"/>
      <c r="B11" s="45"/>
      <c r="C11" s="54"/>
      <c r="D11" s="44"/>
      <c r="E11" s="45"/>
      <c r="F11" s="37"/>
      <c r="G11" s="54"/>
      <c r="H11" s="5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7" t="s">
        <v>70</v>
      </c>
      <c r="B12" s="52"/>
      <c r="C12" s="58"/>
      <c r="D12" s="60" t="s">
        <v>72</v>
      </c>
      <c r="E12" s="52"/>
      <c r="F12" s="41"/>
      <c r="G12" s="60" t="s">
        <v>70</v>
      </c>
      <c r="H12" s="62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5"/>
      <c r="B13" s="26"/>
      <c r="C13" s="26"/>
      <c r="D13" s="26"/>
      <c r="E13" s="26"/>
      <c r="F13" s="26"/>
      <c r="G13" s="26"/>
      <c r="H13" s="3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5"/>
      <c r="H14" s="3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5"/>
      <c r="H15" s="3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3"/>
      <c r="B16" s="44"/>
      <c r="C16" s="44"/>
      <c r="D16" s="44"/>
      <c r="E16" s="44"/>
      <c r="F16" s="44"/>
      <c r="G16" s="44"/>
      <c r="H16" s="5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5"/>
      <c r="B17" s="27"/>
      <c r="C17" s="65"/>
      <c r="D17" s="52"/>
      <c r="E17" s="67" t="s">
        <v>90</v>
      </c>
      <c r="F17" s="69"/>
      <c r="G17" s="70"/>
      <c r="H17" s="7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2"/>
      <c r="B18" s="73"/>
      <c r="C18" s="74" t="s">
        <v>96</v>
      </c>
      <c r="D18" s="75"/>
      <c r="E18" s="76"/>
      <c r="F18" s="77"/>
      <c r="G18" s="78"/>
      <c r="H18" s="7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0"/>
      <c r="B19" s="44"/>
      <c r="C19" s="44"/>
      <c r="D19" s="44"/>
      <c r="E19" s="45"/>
      <c r="F19" s="80"/>
      <c r="G19" s="44"/>
      <c r="H19" s="4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5"/>
      <c r="B20" s="51"/>
      <c r="C20" s="51"/>
      <c r="D20" s="52"/>
      <c r="E20" s="81" t="s">
        <v>90</v>
      </c>
      <c r="F20" s="82" t="s">
        <v>106</v>
      </c>
      <c r="G20" s="51"/>
      <c r="H20" s="5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3" t="s">
        <v>109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7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7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7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7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 t="s">
        <v>121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9"/>
      <c r="B34" s="78"/>
      <c r="C34" s="78"/>
      <c r="D34" s="78"/>
      <c r="E34" s="78"/>
      <c r="F34" s="78"/>
      <c r="G34" s="78"/>
      <c r="H34" s="7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90"/>
      <c r="B35" s="45"/>
      <c r="C35" s="91" t="s">
        <v>123</v>
      </c>
      <c r="D35" s="44"/>
      <c r="E35" s="45"/>
      <c r="F35" s="80"/>
      <c r="G35" s="44"/>
      <c r="H35" s="5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3" t="s">
        <v>25</v>
      </c>
      <c r="B36" s="52"/>
      <c r="C36" s="32"/>
      <c r="D36" s="26"/>
      <c r="E36" s="26"/>
      <c r="F36" s="27"/>
      <c r="G36" s="32"/>
      <c r="H36" s="33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5"/>
      <c r="B37" s="27"/>
      <c r="C37" s="38"/>
      <c r="F37" s="36"/>
      <c r="G37" s="38"/>
      <c r="H37" s="39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5"/>
      <c r="B38" s="36"/>
      <c r="C38" s="38"/>
      <c r="F38" s="36"/>
      <c r="G38" s="38"/>
      <c r="H38" s="39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3"/>
      <c r="B39" s="45"/>
      <c r="C39" s="54"/>
      <c r="D39" s="44"/>
      <c r="E39" s="44"/>
      <c r="F39" s="45"/>
      <c r="G39" s="38"/>
      <c r="H39" s="39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96"/>
      <c r="B40" s="51"/>
      <c r="C40" s="51"/>
      <c r="D40" s="51"/>
      <c r="E40" s="52"/>
      <c r="F40" s="46"/>
      <c r="G40" s="38"/>
      <c r="H40" s="3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5"/>
      <c r="B41" s="27"/>
      <c r="C41" s="49" t="s">
        <v>58</v>
      </c>
      <c r="D41" s="51"/>
      <c r="E41" s="52"/>
      <c r="F41" s="37"/>
      <c r="G41" s="38"/>
      <c r="H41" s="39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5"/>
      <c r="B42" s="36"/>
      <c r="C42" s="32"/>
      <c r="D42" s="26"/>
      <c r="E42" s="27"/>
      <c r="F42" s="37"/>
      <c r="G42" s="38"/>
      <c r="H42" s="39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3"/>
      <c r="B43" s="45"/>
      <c r="C43" s="54"/>
      <c r="D43" s="44"/>
      <c r="E43" s="45"/>
      <c r="F43" s="37"/>
      <c r="G43" s="54"/>
      <c r="H43" s="5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6"/>
      <c r="B44" s="52"/>
      <c r="C44" s="58"/>
      <c r="D44" s="60" t="s">
        <v>72</v>
      </c>
      <c r="E44" s="52"/>
      <c r="F44" s="41"/>
      <c r="G44" s="65"/>
      <c r="H44" s="6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5"/>
      <c r="B45" s="26"/>
      <c r="C45" s="26"/>
      <c r="D45" s="26"/>
      <c r="E45" s="26"/>
      <c r="F45" s="26"/>
      <c r="G45" s="26"/>
      <c r="H45" s="3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5"/>
      <c r="H46" s="39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5"/>
      <c r="H47" s="39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3"/>
      <c r="B48" s="44"/>
      <c r="C48" s="44"/>
      <c r="D48" s="44"/>
      <c r="E48" s="44"/>
      <c r="F48" s="44"/>
      <c r="G48" s="44"/>
      <c r="H48" s="5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5"/>
      <c r="B49" s="27"/>
      <c r="C49" s="65"/>
      <c r="D49" s="52"/>
      <c r="E49" s="98" t="s">
        <v>90</v>
      </c>
      <c r="F49" s="32"/>
      <c r="G49" s="26"/>
      <c r="H49" s="33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3"/>
      <c r="B50" s="45"/>
      <c r="C50" s="99" t="s">
        <v>128</v>
      </c>
      <c r="D50" s="51"/>
      <c r="E50" s="52"/>
      <c r="F50" s="38"/>
      <c r="H50" s="39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00"/>
      <c r="B51" s="75"/>
      <c r="C51" s="75"/>
      <c r="D51" s="75"/>
      <c r="E51" s="76"/>
      <c r="F51" s="101"/>
      <c r="G51" s="78"/>
      <c r="H51" s="79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E52" s="102" t="s">
        <v>129</v>
      </c>
      <c r="F52" s="103" t="s">
        <v>106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0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0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0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 t="s">
        <v>130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05"/>
      <c r="F57" s="36"/>
      <c r="G57" s="46"/>
      <c r="H57" s="4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06"/>
      <c r="B58" s="107"/>
      <c r="C58" s="20"/>
      <c r="D58" s="17"/>
      <c r="E58" s="17"/>
      <c r="F58" s="15"/>
      <c r="G58" s="108"/>
      <c r="H58" s="109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3"/>
      <c r="B59" s="45"/>
      <c r="C59" s="60" t="s">
        <v>72</v>
      </c>
      <c r="D59" s="52"/>
      <c r="E59" s="65"/>
      <c r="F59" s="52"/>
      <c r="G59" s="38"/>
      <c r="H59" s="39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96"/>
      <c r="B60" s="51"/>
      <c r="C60" s="51"/>
      <c r="D60" s="51"/>
      <c r="E60" s="52"/>
      <c r="F60" s="46"/>
      <c r="G60" s="38"/>
      <c r="H60" s="39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5"/>
      <c r="B61" s="27"/>
      <c r="C61" s="65"/>
      <c r="D61" s="51"/>
      <c r="E61" s="52"/>
      <c r="F61" s="37"/>
      <c r="G61" s="38"/>
      <c r="H61" s="39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5"/>
      <c r="B62" s="36"/>
      <c r="C62" s="110" t="s">
        <v>58</v>
      </c>
      <c r="D62" s="26"/>
      <c r="E62" s="27"/>
      <c r="F62" s="37"/>
      <c r="G62" s="38"/>
      <c r="H62" s="39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3"/>
      <c r="B63" s="45"/>
      <c r="C63" s="54"/>
      <c r="D63" s="44"/>
      <c r="E63" s="45"/>
      <c r="F63" s="37"/>
      <c r="G63" s="54"/>
      <c r="H63" s="5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96"/>
      <c r="B64" s="52"/>
      <c r="C64" s="58"/>
      <c r="D64" s="58"/>
      <c r="E64" s="58"/>
      <c r="F64" s="41"/>
      <c r="G64" s="65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5"/>
      <c r="B65" s="27"/>
      <c r="C65" s="32"/>
      <c r="D65" s="26"/>
      <c r="E65" s="26"/>
      <c r="F65" s="26"/>
      <c r="G65" s="26"/>
      <c r="H65" s="33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5"/>
      <c r="B66" s="36"/>
      <c r="C66" s="54"/>
      <c r="D66" s="44"/>
      <c r="E66" s="44"/>
      <c r="F66" s="44"/>
      <c r="G66" s="44"/>
      <c r="H66" s="5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5"/>
      <c r="B67" s="36"/>
      <c r="C67" s="111" t="s">
        <v>15</v>
      </c>
      <c r="D67" s="51"/>
      <c r="E67" s="52"/>
      <c r="F67" s="112" t="s">
        <v>25</v>
      </c>
      <c r="G67" s="52"/>
      <c r="H67" s="113" t="s">
        <v>90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3"/>
      <c r="B68" s="45"/>
      <c r="C68" s="65"/>
      <c r="D68" s="51"/>
      <c r="E68" s="51"/>
      <c r="F68" s="51"/>
      <c r="G68" s="51"/>
      <c r="H68" s="6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00"/>
      <c r="B69" s="76"/>
      <c r="C69" s="114"/>
      <c r="D69" s="76"/>
      <c r="E69" s="115"/>
      <c r="F69" s="114"/>
      <c r="G69" s="75"/>
      <c r="H69" s="11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05"/>
      <c r="B70" s="36"/>
      <c r="C70" s="117" t="s">
        <v>131</v>
      </c>
      <c r="D70" s="44"/>
      <c r="E70" s="45"/>
      <c r="F70" s="105"/>
      <c r="H70" s="3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4"/>
      <c r="B71" s="45"/>
      <c r="C71" s="99" t="s">
        <v>128</v>
      </c>
      <c r="D71" s="51"/>
      <c r="E71" s="52"/>
      <c r="F71" s="38"/>
      <c r="H71" s="3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5"/>
      <c r="B72" s="51"/>
      <c r="C72" s="51"/>
      <c r="D72" s="51"/>
      <c r="E72" s="52"/>
      <c r="F72" s="54"/>
      <c r="G72" s="44"/>
      <c r="H72" s="4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5"/>
      <c r="B73" s="51"/>
      <c r="C73" s="51"/>
      <c r="D73" s="52"/>
      <c r="E73" s="118" t="s">
        <v>132</v>
      </c>
      <c r="F73" s="82" t="s">
        <v>106</v>
      </c>
      <c r="G73" s="51"/>
      <c r="H73" s="5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</sheetData>
  <mergeCells count="76">
    <mergeCell ref="A40:E40"/>
    <mergeCell ref="C41:E41"/>
    <mergeCell ref="A35:B35"/>
    <mergeCell ref="A36:B36"/>
    <mergeCell ref="C36:F39"/>
    <mergeCell ref="A37:B39"/>
    <mergeCell ref="F40:F44"/>
    <mergeCell ref="C42:E43"/>
    <mergeCell ref="D44:E44"/>
    <mergeCell ref="A41:B43"/>
    <mergeCell ref="A44:B44"/>
    <mergeCell ref="A45:H48"/>
    <mergeCell ref="A49:B50"/>
    <mergeCell ref="C49:D49"/>
    <mergeCell ref="F49:H51"/>
    <mergeCell ref="C50:E50"/>
    <mergeCell ref="G58:H63"/>
    <mergeCell ref="F60:F64"/>
    <mergeCell ref="G64:H64"/>
    <mergeCell ref="A60:E60"/>
    <mergeCell ref="C61:E61"/>
    <mergeCell ref="A61:B63"/>
    <mergeCell ref="A64:B64"/>
    <mergeCell ref="A65:B68"/>
    <mergeCell ref="A69:B69"/>
    <mergeCell ref="A70:B71"/>
    <mergeCell ref="A51:E51"/>
    <mergeCell ref="A52:D52"/>
    <mergeCell ref="F52:H52"/>
    <mergeCell ref="A57:F57"/>
    <mergeCell ref="A58:B59"/>
    <mergeCell ref="C58:F58"/>
    <mergeCell ref="C62:E63"/>
    <mergeCell ref="C70:E70"/>
    <mergeCell ref="C71:E71"/>
    <mergeCell ref="A72:E72"/>
    <mergeCell ref="A73:D73"/>
    <mergeCell ref="C65:H66"/>
    <mergeCell ref="C67:E67"/>
    <mergeCell ref="F67:G67"/>
    <mergeCell ref="C68:H68"/>
    <mergeCell ref="C69:D69"/>
    <mergeCell ref="F69:H69"/>
    <mergeCell ref="F70:H72"/>
    <mergeCell ref="F73:H73"/>
    <mergeCell ref="A4:E8"/>
    <mergeCell ref="A9:B11"/>
    <mergeCell ref="C9:E9"/>
    <mergeCell ref="C10:E11"/>
    <mergeCell ref="A12:B12"/>
    <mergeCell ref="D12:E12"/>
    <mergeCell ref="A2:H2"/>
    <mergeCell ref="A3:B3"/>
    <mergeCell ref="C3:E3"/>
    <mergeCell ref="F3:H3"/>
    <mergeCell ref="F4:F7"/>
    <mergeCell ref="G4:H11"/>
    <mergeCell ref="F8:F12"/>
    <mergeCell ref="G12:H12"/>
    <mergeCell ref="A13:H16"/>
    <mergeCell ref="A17:B18"/>
    <mergeCell ref="C17:D17"/>
    <mergeCell ref="F17:H18"/>
    <mergeCell ref="C18:E18"/>
    <mergeCell ref="F19:H19"/>
    <mergeCell ref="A19:E19"/>
    <mergeCell ref="A20:D20"/>
    <mergeCell ref="F20:H20"/>
    <mergeCell ref="A21:A29"/>
    <mergeCell ref="A34:H34"/>
    <mergeCell ref="C35:E35"/>
    <mergeCell ref="F35:H35"/>
    <mergeCell ref="G36:H43"/>
    <mergeCell ref="G44:H44"/>
    <mergeCell ref="C59:D59"/>
    <mergeCell ref="E59:F5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0" t="s">
        <v>133</v>
      </c>
      <c r="B1" s="121" t="s">
        <v>134</v>
      </c>
      <c r="C1" s="121" t="s">
        <v>135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123">
        <v>46250.0</v>
      </c>
      <c r="B2" s="124" t="s">
        <v>136</v>
      </c>
      <c r="C2" s="125">
        <f>8+5+5</f>
        <v>18</v>
      </c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>
      <c r="A3" s="126"/>
      <c r="B3" s="124" t="s">
        <v>137</v>
      </c>
      <c r="C3" s="127">
        <v>14.0</v>
      </c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126"/>
      <c r="B4" s="124" t="s">
        <v>138</v>
      </c>
      <c r="C4" s="125">
        <v>4.0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>
      <c r="A5" s="126"/>
      <c r="B5" s="124" t="s">
        <v>139</v>
      </c>
      <c r="C5" s="127">
        <v>4.0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>
      <c r="A6" s="126"/>
      <c r="B6" s="124" t="s">
        <v>140</v>
      </c>
      <c r="C6" s="125">
        <v>11.0</v>
      </c>
      <c r="D6" s="128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>
      <c r="A7" s="126"/>
      <c r="B7" s="124" t="s">
        <v>141</v>
      </c>
      <c r="C7" s="127">
        <v>150.0</v>
      </c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>
      <c r="A8" s="126"/>
      <c r="B8" s="124" t="s">
        <v>142</v>
      </c>
      <c r="C8" s="125">
        <v>1.0</v>
      </c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>
      <c r="A9" s="126"/>
      <c r="B9" s="124" t="s">
        <v>143</v>
      </c>
      <c r="C9" s="127">
        <v>2.0</v>
      </c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>
      <c r="A10" s="126"/>
      <c r="B10" s="124" t="s">
        <v>144</v>
      </c>
      <c r="C10" s="127">
        <v>2.0</v>
      </c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126"/>
      <c r="B11" s="124" t="s">
        <v>145</v>
      </c>
      <c r="C11" s="127">
        <v>1.0</v>
      </c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>
      <c r="A12" s="129"/>
      <c r="B12" s="130"/>
      <c r="C12" s="131">
        <f>SUM(C2:C11)</f>
        <v>207</v>
      </c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>
      <c r="A13" s="5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>
      <c r="A14" s="5"/>
      <c r="B14" s="122"/>
      <c r="C14" s="128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>
      <c r="A15" s="5"/>
      <c r="B15" s="122"/>
      <c r="C15" s="128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>
      <c r="A16" s="5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>
      <c r="A17" s="5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>
      <c r="A18" s="5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>
      <c r="A19" s="5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>
      <c r="A20" s="5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>
      <c r="A21" s="5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>
      <c r="A22" s="5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>
      <c r="A23" s="5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>
      <c r="A24" s="5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>
      <c r="A25" s="5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>
      <c r="A26" s="5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>
      <c r="A27" s="5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>
      <c r="A28" s="5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>
      <c r="A29" s="5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>
      <c r="A30" s="5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>
      <c r="A31" s="5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>
      <c r="A32" s="5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>
      <c r="A33" s="5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>
      <c r="A34" s="5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>
      <c r="A35" s="5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>
      <c r="A36" s="5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>
      <c r="A37" s="5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>
      <c r="A38" s="5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>
      <c r="A39" s="5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>
      <c r="A40" s="5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>
      <c r="A41" s="5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>
      <c r="A42" s="5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>
      <c r="A43" s="5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>
      <c r="A44" s="5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>
      <c r="A45" s="5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>
      <c r="A46" s="5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>
      <c r="A47" s="5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>
      <c r="A48" s="5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>
      <c r="A49" s="5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>
      <c r="A50" s="5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>
      <c r="A51" s="5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>
      <c r="A52" s="5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>
      <c r="A53" s="5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>
      <c r="A54" s="5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>
      <c r="A55" s="5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>
      <c r="A56" s="5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>
      <c r="A57" s="5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>
      <c r="A58" s="5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>
      <c r="A59" s="5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>
      <c r="A60" s="5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>
      <c r="A61" s="5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>
      <c r="A62" s="5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>
      <c r="A63" s="5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>
      <c r="A64" s="5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>
      <c r="A65" s="5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>
      <c r="A66" s="5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>
      <c r="A67" s="5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>
      <c r="A68" s="5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>
      <c r="A69" s="5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>
      <c r="A70" s="5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>
      <c r="A71" s="5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>
      <c r="A72" s="5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>
      <c r="A73" s="5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>
      <c r="A74" s="5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>
      <c r="A75" s="5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>
      <c r="A76" s="5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>
      <c r="A77" s="5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>
      <c r="A78" s="5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>
      <c r="A79" s="5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>
      <c r="A80" s="5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>
      <c r="A81" s="5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>
      <c r="A82" s="5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>
      <c r="A83" s="5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>
      <c r="A84" s="5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>
      <c r="A85" s="5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>
      <c r="A86" s="5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>
      <c r="A87" s="5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>
      <c r="A88" s="5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>
      <c r="A89" s="5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>
      <c r="A90" s="5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>
      <c r="A91" s="5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>
      <c r="A92" s="5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>
      <c r="A93" s="5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>
      <c r="A94" s="5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>
      <c r="A95" s="5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>
      <c r="A96" s="5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>
      <c r="A97" s="5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>
      <c r="A98" s="5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>
      <c r="A99" s="5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>
      <c r="A100" s="5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>
      <c r="A101" s="5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>
      <c r="A102" s="5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>
      <c r="A103" s="5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>
      <c r="A104" s="5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>
      <c r="A105" s="5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>
      <c r="A106" s="5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>
      <c r="A107" s="5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>
      <c r="A108" s="5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>
      <c r="A109" s="5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>
      <c r="A110" s="5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>
      <c r="A111" s="5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>
      <c r="A112" s="5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>
      <c r="A113" s="5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>
      <c r="A114" s="5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>
      <c r="A115" s="5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>
      <c r="A116" s="5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>
      <c r="A117" s="5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>
      <c r="A118" s="5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>
      <c r="A119" s="5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>
      <c r="A120" s="5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>
      <c r="A121" s="5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>
      <c r="A122" s="5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>
      <c r="A123" s="5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>
      <c r="A124" s="5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>
      <c r="A125" s="5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>
      <c r="A126" s="5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>
      <c r="A127" s="5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>
      <c r="A128" s="5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>
      <c r="A129" s="5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>
      <c r="A130" s="5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>
      <c r="A131" s="5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>
      <c r="A132" s="5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>
      <c r="A133" s="5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>
      <c r="A134" s="5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>
      <c r="A135" s="5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>
      <c r="A136" s="5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>
      <c r="A137" s="5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>
      <c r="A138" s="5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>
      <c r="A139" s="5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>
      <c r="A140" s="5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>
      <c r="A141" s="5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>
      <c r="A142" s="5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>
      <c r="A143" s="5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>
      <c r="A144" s="5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>
      <c r="A145" s="5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>
      <c r="A146" s="5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>
      <c r="A147" s="5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>
      <c r="A148" s="5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>
      <c r="A149" s="5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>
      <c r="A150" s="5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>
      <c r="A151" s="5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>
      <c r="A152" s="5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>
      <c r="A153" s="5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>
      <c r="A154" s="5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>
      <c r="A155" s="5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>
      <c r="A156" s="5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>
      <c r="A157" s="5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>
      <c r="A158" s="5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>
      <c r="A159" s="5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>
      <c r="A160" s="5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>
      <c r="A161" s="5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>
      <c r="A162" s="5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>
      <c r="A163" s="5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>
      <c r="A164" s="5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>
      <c r="A165" s="5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>
      <c r="A166" s="5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>
      <c r="A167" s="5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>
      <c r="A168" s="5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>
      <c r="A169" s="5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>
      <c r="A170" s="5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>
      <c r="A171" s="5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>
      <c r="A172" s="5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>
      <c r="A173" s="5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>
      <c r="A174" s="5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>
      <c r="A175" s="5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>
      <c r="A176" s="5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>
      <c r="A177" s="5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>
      <c r="A178" s="5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>
      <c r="A179" s="5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>
      <c r="A180" s="5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>
      <c r="A181" s="5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>
      <c r="A182" s="5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>
      <c r="A183" s="5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>
      <c r="A184" s="5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>
      <c r="A185" s="5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>
      <c r="A186" s="5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>
      <c r="A187" s="5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>
      <c r="A188" s="5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>
      <c r="A189" s="5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>
      <c r="A190" s="5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>
      <c r="A191" s="5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>
      <c r="A192" s="5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>
      <c r="A193" s="5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>
      <c r="A194" s="5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>
      <c r="A195" s="5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>
      <c r="A196" s="5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>
      <c r="A197" s="5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>
      <c r="A198" s="5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>
      <c r="A199" s="5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>
      <c r="A200" s="5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>
      <c r="A201" s="5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>
      <c r="A202" s="5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>
      <c r="A203" s="5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>
      <c r="A204" s="5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>
      <c r="A205" s="5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>
      <c r="A206" s="5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>
      <c r="A207" s="5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>
      <c r="A208" s="5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>
      <c r="A209" s="5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>
      <c r="A210" s="5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>
      <c r="A211" s="5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>
      <c r="A212" s="5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>
      <c r="A213" s="5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>
      <c r="A214" s="5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>
      <c r="A215" s="5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>
      <c r="A216" s="5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>
      <c r="A217" s="5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>
      <c r="A218" s="5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>
      <c r="A219" s="5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>
      <c r="A220" s="5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>
      <c r="A221" s="5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>
      <c r="A222" s="5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>
      <c r="A223" s="5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>
      <c r="A224" s="5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>
      <c r="A225" s="5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>
      <c r="A226" s="5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>
      <c r="A227" s="5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>
      <c r="A228" s="5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>
      <c r="A229" s="5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>
      <c r="A230" s="5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>
      <c r="A231" s="5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>
      <c r="A232" s="5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>
      <c r="A233" s="5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>
      <c r="A234" s="5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>
      <c r="A235" s="5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>
      <c r="A236" s="5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>
      <c r="A237" s="5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>
      <c r="A238" s="5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>
      <c r="A239" s="5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>
      <c r="A240" s="5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>
      <c r="A241" s="5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>
      <c r="A242" s="5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>
      <c r="A243" s="5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>
      <c r="A244" s="5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>
      <c r="A245" s="5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>
      <c r="A246" s="5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>
      <c r="A247" s="5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>
      <c r="A248" s="5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>
      <c r="A249" s="5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>
      <c r="A250" s="5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>
      <c r="A251" s="5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>
      <c r="A252" s="5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>
      <c r="A253" s="5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>
      <c r="A254" s="5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>
      <c r="A255" s="5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>
      <c r="A256" s="5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>
      <c r="A257" s="5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>
      <c r="A258" s="5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>
      <c r="A259" s="5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>
      <c r="A260" s="5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>
      <c r="A261" s="5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>
      <c r="A262" s="5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>
      <c r="A263" s="5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>
      <c r="A264" s="5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>
      <c r="A265" s="5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>
      <c r="A266" s="5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>
      <c r="A267" s="5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>
      <c r="A268" s="5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>
      <c r="A269" s="5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>
      <c r="A270" s="5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>
      <c r="A271" s="5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>
      <c r="A272" s="5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>
      <c r="A273" s="5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>
      <c r="A274" s="5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>
      <c r="A275" s="5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>
      <c r="A276" s="5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>
      <c r="A277" s="5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>
      <c r="A278" s="5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>
      <c r="A279" s="5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>
      <c r="A280" s="5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>
      <c r="A281" s="5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>
      <c r="A282" s="5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>
      <c r="A283" s="5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>
      <c r="A284" s="5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>
      <c r="A285" s="5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>
      <c r="A286" s="5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>
      <c r="A287" s="5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>
      <c r="A288" s="5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>
      <c r="A289" s="5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>
      <c r="A290" s="5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>
      <c r="A291" s="5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>
      <c r="A292" s="5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>
      <c r="A293" s="5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>
      <c r="A294" s="5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>
      <c r="A295" s="5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>
      <c r="A296" s="5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>
      <c r="A297" s="5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>
      <c r="A298" s="5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>
      <c r="A299" s="5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>
      <c r="A300" s="5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>
      <c r="A301" s="5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>
      <c r="A302" s="5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>
      <c r="A303" s="5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>
      <c r="A304" s="5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>
      <c r="A305" s="5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>
      <c r="A306" s="5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>
      <c r="A307" s="5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>
      <c r="A308" s="5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>
      <c r="A309" s="5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>
      <c r="A310" s="5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>
      <c r="A311" s="5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>
      <c r="A312" s="5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>
      <c r="A313" s="5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>
      <c r="A314" s="5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>
      <c r="A315" s="5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>
      <c r="A316" s="5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>
      <c r="A317" s="5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>
      <c r="A318" s="5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>
      <c r="A319" s="5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>
      <c r="A320" s="5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>
      <c r="A321" s="5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>
      <c r="A322" s="5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>
      <c r="A323" s="5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>
      <c r="A324" s="5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>
      <c r="A325" s="5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>
      <c r="A326" s="5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>
      <c r="A327" s="5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>
      <c r="A328" s="5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>
      <c r="A329" s="5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>
      <c r="A330" s="5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>
      <c r="A331" s="5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>
      <c r="A332" s="5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>
      <c r="A333" s="5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>
      <c r="A334" s="5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>
      <c r="A335" s="5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>
      <c r="A336" s="5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>
      <c r="A337" s="5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>
      <c r="A338" s="5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>
      <c r="A339" s="5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>
      <c r="A340" s="5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>
      <c r="A341" s="5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>
      <c r="A342" s="5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>
      <c r="A343" s="5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>
      <c r="A344" s="5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>
      <c r="A345" s="5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>
      <c r="A346" s="5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>
      <c r="A347" s="5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>
      <c r="A348" s="5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>
      <c r="A349" s="5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>
      <c r="A350" s="5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>
      <c r="A351" s="5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>
      <c r="A352" s="5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>
      <c r="A353" s="5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>
      <c r="A354" s="5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>
      <c r="A355" s="5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>
      <c r="A356" s="5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>
      <c r="A357" s="5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>
      <c r="A358" s="5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>
      <c r="A359" s="5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>
      <c r="A360" s="5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>
      <c r="A361" s="5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>
      <c r="A362" s="5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>
      <c r="A363" s="5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>
      <c r="A364" s="5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>
      <c r="A365" s="5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>
      <c r="A366" s="5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>
      <c r="A367" s="5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>
      <c r="A368" s="5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>
      <c r="A369" s="5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>
      <c r="A370" s="5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>
      <c r="A371" s="5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>
      <c r="A372" s="5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>
      <c r="A373" s="5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>
      <c r="A374" s="5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>
      <c r="A375" s="5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>
      <c r="A376" s="5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>
      <c r="A377" s="5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>
      <c r="A378" s="5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>
      <c r="A379" s="5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>
      <c r="A380" s="5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>
      <c r="A381" s="5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>
      <c r="A382" s="5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>
      <c r="A383" s="5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>
      <c r="A384" s="5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>
      <c r="A385" s="5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>
      <c r="A386" s="5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>
      <c r="A387" s="5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>
      <c r="A388" s="5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>
      <c r="A389" s="5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>
      <c r="A390" s="5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>
      <c r="A391" s="5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>
      <c r="A392" s="5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>
      <c r="A393" s="5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>
      <c r="A394" s="5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>
      <c r="A395" s="5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>
      <c r="A396" s="5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>
      <c r="A397" s="5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>
      <c r="A398" s="5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>
      <c r="A399" s="5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>
      <c r="A400" s="5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>
      <c r="A401" s="5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>
      <c r="A402" s="5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>
      <c r="A403" s="5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>
      <c r="A404" s="5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>
      <c r="A405" s="5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>
      <c r="A406" s="5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>
      <c r="A407" s="5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>
      <c r="A408" s="5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>
      <c r="A409" s="5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>
      <c r="A410" s="5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>
      <c r="A411" s="5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>
      <c r="A412" s="5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>
      <c r="A413" s="5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>
      <c r="A414" s="5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>
      <c r="A415" s="5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>
      <c r="A416" s="5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>
      <c r="A417" s="5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>
      <c r="A418" s="5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>
      <c r="A419" s="5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>
      <c r="A420" s="5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>
      <c r="A421" s="5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>
      <c r="A422" s="5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>
      <c r="A423" s="5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>
      <c r="A424" s="5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>
      <c r="A425" s="5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>
      <c r="A426" s="5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>
      <c r="A427" s="5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>
      <c r="A428" s="5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>
      <c r="A429" s="5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>
      <c r="A430" s="5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>
      <c r="A431" s="5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>
      <c r="A432" s="5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>
      <c r="A433" s="5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>
      <c r="A434" s="5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>
      <c r="A435" s="5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>
      <c r="A436" s="5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>
      <c r="A437" s="5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>
      <c r="A438" s="5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>
      <c r="A439" s="5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>
      <c r="A440" s="5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>
      <c r="A441" s="5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>
      <c r="A442" s="5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>
      <c r="A443" s="5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>
      <c r="A444" s="5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>
      <c r="A445" s="5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>
      <c r="A446" s="5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>
      <c r="A447" s="5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>
      <c r="A448" s="5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>
      <c r="A449" s="5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>
      <c r="A450" s="5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>
      <c r="A451" s="5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>
      <c r="A452" s="5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>
      <c r="A453" s="5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>
      <c r="A454" s="5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>
      <c r="A455" s="5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>
      <c r="A456" s="5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>
      <c r="A457" s="5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>
      <c r="A458" s="5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>
      <c r="A459" s="5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>
      <c r="A460" s="5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>
      <c r="A461" s="5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>
      <c r="A462" s="5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>
      <c r="A463" s="5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>
      <c r="A464" s="5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>
      <c r="A465" s="5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>
      <c r="A466" s="5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>
      <c r="A467" s="5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>
      <c r="A468" s="5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>
      <c r="A469" s="5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>
      <c r="A470" s="5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>
      <c r="A471" s="5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>
      <c r="A472" s="5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>
      <c r="A473" s="5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>
      <c r="A474" s="5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>
      <c r="A475" s="5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>
      <c r="A476" s="5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>
      <c r="A477" s="5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>
      <c r="A478" s="5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>
      <c r="A479" s="5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>
      <c r="A480" s="5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>
      <c r="A481" s="5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>
      <c r="A482" s="5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>
      <c r="A483" s="5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>
      <c r="A484" s="5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>
      <c r="A485" s="5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>
      <c r="A486" s="5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>
      <c r="A487" s="5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>
      <c r="A488" s="5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>
      <c r="A489" s="5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>
      <c r="A490" s="5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>
      <c r="A491" s="5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>
      <c r="A492" s="5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>
      <c r="A493" s="5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>
      <c r="A494" s="5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>
      <c r="A495" s="5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>
      <c r="A496" s="5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>
      <c r="A497" s="5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>
      <c r="A498" s="5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>
      <c r="A499" s="5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>
      <c r="A500" s="5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>
      <c r="A501" s="5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>
      <c r="A502" s="5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>
      <c r="A503" s="5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>
      <c r="A504" s="5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>
      <c r="A505" s="5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>
      <c r="A506" s="5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>
      <c r="A507" s="5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>
      <c r="A508" s="5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>
      <c r="A509" s="5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>
      <c r="A510" s="5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>
      <c r="A511" s="5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>
      <c r="A512" s="5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>
      <c r="A513" s="5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>
      <c r="A514" s="5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>
      <c r="A515" s="5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>
      <c r="A516" s="5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>
      <c r="A517" s="5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>
      <c r="A518" s="5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>
      <c r="A519" s="5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>
      <c r="A520" s="5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>
      <c r="A521" s="5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>
      <c r="A522" s="5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>
      <c r="A523" s="5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>
      <c r="A524" s="5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>
      <c r="A525" s="5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>
      <c r="A526" s="5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>
      <c r="A527" s="5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>
      <c r="A528" s="5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>
      <c r="A529" s="5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>
      <c r="A530" s="5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>
      <c r="A531" s="5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>
      <c r="A532" s="5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>
      <c r="A533" s="5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>
      <c r="A534" s="5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>
      <c r="A535" s="5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>
      <c r="A536" s="5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>
      <c r="A537" s="5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>
      <c r="A538" s="5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>
      <c r="A539" s="5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>
      <c r="A540" s="5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>
      <c r="A541" s="5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>
      <c r="A542" s="5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>
      <c r="A543" s="5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>
      <c r="A544" s="5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>
      <c r="A545" s="5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>
      <c r="A546" s="5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>
      <c r="A547" s="5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>
      <c r="A548" s="5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>
      <c r="A549" s="5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>
      <c r="A550" s="5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>
      <c r="A551" s="5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>
      <c r="A552" s="5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>
      <c r="A553" s="5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>
      <c r="A554" s="5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>
      <c r="A555" s="5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>
      <c r="A556" s="5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>
      <c r="A557" s="5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>
      <c r="A558" s="5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>
      <c r="A559" s="5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>
      <c r="A560" s="5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>
      <c r="A561" s="5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>
      <c r="A562" s="5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>
      <c r="A563" s="5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>
      <c r="A564" s="5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>
      <c r="A565" s="5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>
      <c r="A566" s="5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>
      <c r="A567" s="5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>
      <c r="A568" s="5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>
      <c r="A569" s="5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>
      <c r="A570" s="5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>
      <c r="A571" s="5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>
      <c r="A572" s="5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>
      <c r="A573" s="5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>
      <c r="A574" s="5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>
      <c r="A575" s="5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>
      <c r="A576" s="5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>
      <c r="A577" s="5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>
      <c r="A578" s="5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>
      <c r="A579" s="5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>
      <c r="A580" s="5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>
      <c r="A581" s="5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>
      <c r="A582" s="5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>
      <c r="A583" s="5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>
      <c r="A584" s="5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>
      <c r="A585" s="5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>
      <c r="A586" s="5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>
      <c r="A587" s="5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>
      <c r="A588" s="5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>
      <c r="A589" s="5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>
      <c r="A590" s="5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>
      <c r="A591" s="5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>
      <c r="A592" s="5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>
      <c r="A593" s="5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>
      <c r="A594" s="5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>
      <c r="A595" s="5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>
      <c r="A596" s="5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>
      <c r="A597" s="5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>
      <c r="A598" s="5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>
      <c r="A599" s="5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>
      <c r="A600" s="5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>
      <c r="A601" s="5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>
      <c r="A602" s="5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>
      <c r="A603" s="5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>
      <c r="A604" s="5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>
      <c r="A605" s="5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>
      <c r="A606" s="5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>
      <c r="A607" s="5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>
      <c r="A608" s="5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>
      <c r="A609" s="5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>
      <c r="A610" s="5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>
      <c r="A611" s="5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>
      <c r="A612" s="5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>
      <c r="A613" s="5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>
      <c r="A614" s="5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>
      <c r="A615" s="5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>
      <c r="A616" s="5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>
      <c r="A617" s="5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>
      <c r="A618" s="5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>
      <c r="A619" s="5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>
      <c r="A620" s="5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>
      <c r="A621" s="5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>
      <c r="A622" s="5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>
      <c r="A623" s="5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>
      <c r="A624" s="5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>
      <c r="A625" s="5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>
      <c r="A626" s="5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>
      <c r="A627" s="5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>
      <c r="A628" s="5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>
      <c r="A629" s="5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>
      <c r="A630" s="5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>
      <c r="A631" s="5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>
      <c r="A632" s="5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>
      <c r="A633" s="5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>
      <c r="A634" s="5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>
      <c r="A635" s="5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>
      <c r="A636" s="5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>
      <c r="A637" s="5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>
      <c r="A638" s="5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>
      <c r="A639" s="5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>
      <c r="A640" s="5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>
      <c r="A641" s="5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>
      <c r="A642" s="5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>
      <c r="A643" s="5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>
      <c r="A644" s="5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>
      <c r="A645" s="5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>
      <c r="A646" s="5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>
      <c r="A647" s="5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>
      <c r="A648" s="5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>
      <c r="A649" s="5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>
      <c r="A650" s="5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>
      <c r="A651" s="5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>
      <c r="A652" s="5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>
      <c r="A653" s="5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>
      <c r="A654" s="5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>
      <c r="A655" s="5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>
      <c r="A656" s="5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>
      <c r="A657" s="5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>
      <c r="A658" s="5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>
      <c r="A659" s="5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>
      <c r="A660" s="5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>
      <c r="A661" s="5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>
      <c r="A662" s="5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>
      <c r="A663" s="5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>
      <c r="A664" s="5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>
      <c r="A665" s="5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>
      <c r="A666" s="5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>
      <c r="A667" s="5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>
      <c r="A668" s="5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>
      <c r="A669" s="5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>
      <c r="A670" s="5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>
      <c r="A671" s="5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>
      <c r="A672" s="5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>
      <c r="A673" s="5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>
      <c r="A674" s="5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>
      <c r="A675" s="5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>
      <c r="A676" s="5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>
      <c r="A677" s="5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>
      <c r="A678" s="5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>
      <c r="A679" s="5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>
      <c r="A680" s="5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>
      <c r="A681" s="5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>
      <c r="A682" s="5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>
      <c r="A683" s="5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>
      <c r="A684" s="5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>
      <c r="A685" s="5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>
      <c r="A686" s="5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>
      <c r="A687" s="5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>
      <c r="A688" s="5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>
      <c r="A689" s="5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>
      <c r="A690" s="5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>
      <c r="A691" s="5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>
      <c r="A692" s="5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>
      <c r="A693" s="5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>
      <c r="A694" s="5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>
      <c r="A695" s="5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>
      <c r="A696" s="5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>
      <c r="A697" s="5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>
      <c r="A698" s="5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>
      <c r="A699" s="5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>
      <c r="A700" s="5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>
      <c r="A701" s="5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>
      <c r="A702" s="5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>
      <c r="A703" s="5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>
      <c r="A704" s="5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>
      <c r="A705" s="5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>
      <c r="A706" s="5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>
      <c r="A707" s="5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>
      <c r="A708" s="5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>
      <c r="A709" s="5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>
      <c r="A710" s="5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>
      <c r="A711" s="5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>
      <c r="A712" s="5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>
      <c r="A713" s="5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>
      <c r="A714" s="5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>
      <c r="A715" s="5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>
      <c r="A716" s="5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>
      <c r="A717" s="5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>
      <c r="A718" s="5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>
      <c r="A719" s="5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>
      <c r="A720" s="5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>
      <c r="A721" s="5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>
      <c r="A722" s="5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>
      <c r="A723" s="5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>
      <c r="A724" s="5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>
      <c r="A725" s="5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>
      <c r="A726" s="5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>
      <c r="A727" s="5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>
      <c r="A728" s="5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>
      <c r="A729" s="5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>
      <c r="A730" s="5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>
      <c r="A731" s="5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>
      <c r="A732" s="5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>
      <c r="A733" s="5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>
      <c r="A734" s="5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>
      <c r="A735" s="5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>
      <c r="A736" s="5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>
      <c r="A737" s="5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>
      <c r="A738" s="5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>
      <c r="A739" s="5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>
      <c r="A740" s="5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>
      <c r="A741" s="5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>
      <c r="A742" s="5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>
      <c r="A743" s="5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>
      <c r="A744" s="5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>
      <c r="A745" s="5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>
      <c r="A746" s="5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>
      <c r="A747" s="5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>
      <c r="A748" s="5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>
      <c r="A749" s="5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>
      <c r="A750" s="5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>
      <c r="A751" s="5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>
      <c r="A752" s="5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>
      <c r="A753" s="5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>
      <c r="A754" s="5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>
      <c r="A755" s="5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>
      <c r="A756" s="5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>
      <c r="A757" s="5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>
      <c r="A758" s="5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>
      <c r="A759" s="5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>
      <c r="A760" s="5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>
      <c r="A761" s="5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>
      <c r="A762" s="5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>
      <c r="A763" s="5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>
      <c r="A764" s="5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>
      <c r="A765" s="5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>
      <c r="A766" s="5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>
      <c r="A767" s="5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>
      <c r="A768" s="5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>
      <c r="A769" s="5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>
      <c r="A770" s="5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>
      <c r="A771" s="5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>
      <c r="A772" s="5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>
      <c r="A773" s="5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>
      <c r="A774" s="5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>
      <c r="A775" s="5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>
      <c r="A776" s="5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>
      <c r="A777" s="5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>
      <c r="A778" s="5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>
      <c r="A779" s="5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>
      <c r="A780" s="5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>
      <c r="A781" s="5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>
      <c r="A782" s="5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>
      <c r="A783" s="5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>
      <c r="A784" s="5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>
      <c r="A785" s="5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>
      <c r="A786" s="5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>
      <c r="A787" s="5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>
      <c r="A788" s="5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>
      <c r="A789" s="5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>
      <c r="A790" s="5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>
      <c r="A791" s="5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>
      <c r="A792" s="5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>
      <c r="A793" s="5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>
      <c r="A794" s="5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>
      <c r="A795" s="5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>
      <c r="A796" s="5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>
      <c r="A797" s="5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>
      <c r="A798" s="5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>
      <c r="A799" s="5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>
      <c r="A800" s="5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>
      <c r="A801" s="5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>
      <c r="A802" s="5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>
      <c r="A803" s="5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>
      <c r="A804" s="5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>
      <c r="A805" s="5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>
      <c r="A806" s="5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>
      <c r="A807" s="5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>
      <c r="A808" s="5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>
      <c r="A809" s="5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>
      <c r="A810" s="5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>
      <c r="A811" s="5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>
      <c r="A812" s="5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>
      <c r="A813" s="5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>
      <c r="A814" s="5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>
      <c r="A815" s="5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>
      <c r="A816" s="5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>
      <c r="A817" s="5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>
      <c r="A818" s="5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>
      <c r="A819" s="5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>
      <c r="A820" s="5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>
      <c r="A821" s="5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>
      <c r="A822" s="5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>
      <c r="A823" s="5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>
      <c r="A824" s="5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>
      <c r="A825" s="5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>
      <c r="A826" s="5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>
      <c r="A827" s="5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>
      <c r="A828" s="5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>
      <c r="A829" s="5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>
      <c r="A830" s="5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>
      <c r="A831" s="5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>
      <c r="A832" s="5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>
      <c r="A833" s="5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>
      <c r="A834" s="5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>
      <c r="A835" s="5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>
      <c r="A836" s="5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>
      <c r="A837" s="5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>
      <c r="A838" s="5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>
      <c r="A839" s="5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>
      <c r="A840" s="5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>
      <c r="A841" s="5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>
      <c r="A842" s="5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>
      <c r="A843" s="5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>
      <c r="A844" s="5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>
      <c r="A845" s="5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>
      <c r="A846" s="5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>
      <c r="A847" s="5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>
      <c r="A848" s="5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>
      <c r="A849" s="5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>
      <c r="A850" s="5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>
      <c r="A851" s="5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>
      <c r="A852" s="5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>
      <c r="A853" s="5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>
      <c r="A854" s="5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>
      <c r="A855" s="5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>
      <c r="A856" s="5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>
      <c r="A857" s="5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>
      <c r="A858" s="5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>
      <c r="A859" s="5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>
      <c r="A860" s="5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>
      <c r="A861" s="5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>
      <c r="A862" s="5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>
      <c r="A863" s="5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>
      <c r="A864" s="5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>
      <c r="A865" s="5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>
      <c r="A866" s="5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>
      <c r="A867" s="5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>
      <c r="A868" s="5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>
      <c r="A869" s="5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>
      <c r="A870" s="5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>
      <c r="A871" s="5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>
      <c r="A872" s="5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>
      <c r="A873" s="5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>
      <c r="A874" s="5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>
      <c r="A875" s="5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>
      <c r="A876" s="5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>
      <c r="A877" s="5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>
      <c r="A878" s="5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>
      <c r="A879" s="5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>
      <c r="A880" s="5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>
      <c r="A881" s="5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>
      <c r="A882" s="5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>
      <c r="A883" s="5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>
      <c r="A884" s="5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>
      <c r="A885" s="5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>
      <c r="A886" s="5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>
      <c r="A887" s="5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>
      <c r="A888" s="5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>
      <c r="A889" s="5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>
      <c r="A890" s="5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>
      <c r="A891" s="5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>
      <c r="A892" s="5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>
      <c r="A893" s="5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>
      <c r="A894" s="5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>
      <c r="A895" s="5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>
      <c r="A896" s="5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>
      <c r="A897" s="5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>
      <c r="A898" s="5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>
      <c r="A899" s="5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>
      <c r="A900" s="5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>
      <c r="A901" s="5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>
      <c r="A902" s="5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>
      <c r="A903" s="5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>
      <c r="A904" s="5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>
      <c r="A905" s="5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>
      <c r="A906" s="5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>
      <c r="A907" s="5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>
      <c r="A908" s="5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>
      <c r="A909" s="5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>
      <c r="A910" s="5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>
      <c r="A911" s="5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>
      <c r="A912" s="5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>
      <c r="A913" s="5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>
      <c r="A914" s="5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>
      <c r="A915" s="5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>
      <c r="A916" s="5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>
      <c r="A917" s="5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>
      <c r="A918" s="5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>
      <c r="A919" s="5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>
      <c r="A920" s="5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>
      <c r="A921" s="5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>
      <c r="A922" s="5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>
      <c r="A923" s="5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>
      <c r="A924" s="5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>
      <c r="A925" s="5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>
      <c r="A926" s="5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>
      <c r="A927" s="5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>
      <c r="A928" s="5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>
      <c r="A929" s="5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>
      <c r="A930" s="5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>
      <c r="A931" s="5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>
      <c r="A932" s="5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>
      <c r="A933" s="5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>
      <c r="A934" s="5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>
      <c r="A935" s="5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>
      <c r="A936" s="5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>
      <c r="A937" s="5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>
      <c r="A938" s="5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>
      <c r="A939" s="5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>
      <c r="A940" s="5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>
      <c r="A941" s="5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>
      <c r="A942" s="5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>
      <c r="A943" s="5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>
      <c r="A944" s="5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>
      <c r="A945" s="5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>
      <c r="A946" s="5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>
      <c r="A947" s="5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>
      <c r="A948" s="5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>
      <c r="A949" s="5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>
      <c r="A950" s="5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>
      <c r="A951" s="5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>
      <c r="A952" s="5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>
      <c r="A953" s="5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>
      <c r="A954" s="5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>
      <c r="A955" s="5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>
      <c r="A956" s="5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>
      <c r="A957" s="5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>
      <c r="A958" s="5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>
      <c r="A959" s="5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>
      <c r="A960" s="5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>
      <c r="A961" s="5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>
      <c r="A962" s="5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>
      <c r="A963" s="5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>
      <c r="A964" s="5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>
      <c r="A965" s="5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>
      <c r="A966" s="5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>
      <c r="A967" s="5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>
      <c r="A968" s="5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>
      <c r="A969" s="5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>
      <c r="A970" s="5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>
      <c r="A971" s="5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>
      <c r="A972" s="5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>
      <c r="A973" s="5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>
      <c r="A974" s="5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>
      <c r="A975" s="5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>
      <c r="A976" s="5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>
      <c r="A977" s="5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>
      <c r="A978" s="5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>
      <c r="A979" s="5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>
      <c r="A980" s="5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>
      <c r="A981" s="5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>
      <c r="A982" s="5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>
      <c r="A983" s="5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>
      <c r="A984" s="5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>
      <c r="A985" s="5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>
      <c r="A986" s="5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>
      <c r="A987" s="5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>
      <c r="A988" s="5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>
      <c r="A989" s="5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>
      <c r="A990" s="5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>
      <c r="A991" s="5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>
      <c r="A992" s="119"/>
    </row>
    <row r="993">
      <c r="A993" s="119"/>
    </row>
    <row r="994">
      <c r="A994" s="119"/>
    </row>
    <row r="995">
      <c r="A995" s="119"/>
    </row>
    <row r="996">
      <c r="A996" s="119"/>
    </row>
    <row r="997">
      <c r="A997" s="119"/>
    </row>
    <row r="998">
      <c r="A998" s="119"/>
    </row>
    <row r="999">
      <c r="A999" s="119"/>
    </row>
    <row r="1000">
      <c r="A1000" s="119"/>
    </row>
  </sheetData>
  <mergeCells count="1">
    <mergeCell ref="A2:A12"/>
  </mergeCells>
  <drawing r:id="rId1"/>
</worksheet>
</file>