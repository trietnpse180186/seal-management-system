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Giải thưởng" sheetId="2" r:id="rId6"/>
    <sheet state="visible" name="Nhân sự " sheetId="3" r:id="rId7"/>
    <sheet state="visible" name="Layout" sheetId="4" r:id="rId8"/>
    <sheet state="visible" name="Cơm" sheetId="5" r:id="rId9"/>
  </sheets>
  <definedNames/>
  <calcPr/>
</workbook>
</file>

<file path=xl/sharedStrings.xml><?xml version="1.0" encoding="utf-8"?>
<sst xmlns="http://schemas.openxmlformats.org/spreadsheetml/2006/main" count="209" uniqueCount="146">
  <si>
    <t>#</t>
  </si>
  <si>
    <t>Thời gian</t>
  </si>
  <si>
    <t>Tên giải</t>
  </si>
  <si>
    <t>HỌ TÊN</t>
  </si>
  <si>
    <t>KHOA/PHÒNG BAN</t>
  </si>
  <si>
    <t>NHIỆM VỤ</t>
  </si>
  <si>
    <t>LB24</t>
  </si>
  <si>
    <t>Thời lượng</t>
  </si>
  <si>
    <t>Nội dung</t>
  </si>
  <si>
    <t>Người phụ trách</t>
  </si>
  <si>
    <t>Ghi chú</t>
  </si>
  <si>
    <t>Trị giá</t>
  </si>
  <si>
    <t xml:space="preserve">Vật phẩm </t>
  </si>
  <si>
    <t>01 Giải Nhất</t>
  </si>
  <si>
    <t>Ban tổ chức</t>
  </si>
  <si>
    <t>13/7/2026 - 20/7/2026</t>
  </si>
  <si>
    <t>7 ngày</t>
  </si>
  <si>
    <t>Đăng ký tham gia cuộc thi</t>
  </si>
  <si>
    <t>Khoa SE &amp; CTSV</t>
  </si>
  <si>
    <t>Formex giải thưởng + Khung giấy chứng nhận + Hoa</t>
  </si>
  <si>
    <t>20:00 - 21:30</t>
  </si>
  <si>
    <t>1 tiếng 30 phút</t>
  </si>
  <si>
    <t>Ngày 13/8/2026
 Workshop training “AI-Driven Smart Operations: From Real-Time IoT Data to Intelligent Decisions”</t>
  </si>
  <si>
    <t>LED</t>
  </si>
  <si>
    <t>01 Giải Nhì</t>
  </si>
  <si>
    <t>01 Giải Ba</t>
  </si>
  <si>
    <t>01 Giải Khuyến Khích</t>
  </si>
  <si>
    <t>Formex giải thưởng + Khung giấy chứng nhận</t>
  </si>
  <si>
    <t>Thí sinh đồng hành 3 mùa SEAL Hackathon</t>
  </si>
  <si>
    <t>Ngày 15/8/2026</t>
  </si>
  <si>
    <t>Nguyễn Thị Cẩm Hương</t>
  </si>
  <si>
    <t>Trưởng Khoa Kỹ thuật phần mềm</t>
  </si>
  <si>
    <t>Trưởng Ban tổ chức Khoa Kỹ thuật phần mềm</t>
  </si>
  <si>
    <t>Trương Long</t>
  </si>
  <si>
    <t>Giảng viên Khoa Kỹ thuật phần mềm</t>
  </si>
  <si>
    <t>Điều phối chung - Phụ trách chính</t>
  </si>
  <si>
    <t>Khung khính vinh danh</t>
  </si>
  <si>
    <t>Đặng Vũ Thuỳ Ngân</t>
  </si>
  <si>
    <t>Trưởng phòng CTSV</t>
  </si>
  <si>
    <t>Trưởng Ban tổ chức CTSV</t>
  </si>
  <si>
    <t>Lê Thị Diệu Ân</t>
  </si>
  <si>
    <t>Cán bộ phòng CTSV</t>
  </si>
  <si>
    <t>Điều phối chung  - Phụ trách chính</t>
  </si>
  <si>
    <t>Tất cả thí sinh tham gia đều có giấy chứng nhận</t>
  </si>
  <si>
    <t xml:space="preserve">Cán bộ CTSV </t>
  </si>
  <si>
    <t>14:00 - 17:00</t>
  </si>
  <si>
    <t>3 tiếng</t>
  </si>
  <si>
    <t>Ngày 15/8/2026
 Set up &amp; Thi công backdrop</t>
  </si>
  <si>
    <t>- Teabreak, ăn uống
- Kỹ thuật, check in, điều phối
- Tiếp đón khách mời
-...</t>
  </si>
  <si>
    <t>CTV &amp; CTSV</t>
  </si>
  <si>
    <t>07:00 - 13:00</t>
  </si>
  <si>
    <t>6 tiếng</t>
  </si>
  <si>
    <t>Ngày 15/8/2026
 Set up và chạy thử chương trình</t>
  </si>
  <si>
    <t>All</t>
  </si>
  <si>
    <t>Câu lạc bộ</t>
  </si>
  <si>
    <t>FEV
02H + SEAL9 (4 nhân sự/CLB)</t>
  </si>
  <si>
    <t>- Set up, dọn dẹp, điều phối, hỗ trợ thí sinh
- Check in
- Hỗ trợ mentor, nhận bàn giao vận hành phần mềm</t>
  </si>
  <si>
    <t>14:00 - 14:30</t>
  </si>
  <si>
    <t>DIỄN GIẢ WORKSHOP “AI-Driven Smart Operations: Turning Real-Time IoT Data into Intelligent Actions”</t>
  </si>
  <si>
    <t>30 phút</t>
  </si>
  <si>
    <t>Ngày 16/8/2026
 - Check in tham gia khai mạc</t>
  </si>
  <si>
    <t>KỸ THUẬT - HỖ TRỢ
(CB - CTV CTSV)</t>
  </si>
  <si>
    <t>Khoa SE &amp; CTSV &amp; CTV</t>
  </si>
  <si>
    <t>14:30 - 16:30</t>
  </si>
  <si>
    <t>2 tiếng</t>
  </si>
  <si>
    <t>- Khai mạc
 - Trình bày tổng quan, thử thách và quy chế thi
 - Bốc thăm bảng thi đấu
 - Gặp gỡ mentor</t>
  </si>
  <si>
    <t>Điều phối chung và diễn giả buổi workshop</t>
  </si>
  <si>
    <t>16:30 - 17:00</t>
  </si>
  <si>
    <t>- Mentor dặn dò thí sinh
 - Dọn dẹp và set up tiếp tục cho ngày thi chính thức</t>
  </si>
  <si>
    <t>Khoa SE
 CTSV &amp; CTV</t>
  </si>
  <si>
    <t>Ngày 16/8/2026</t>
  </si>
  <si>
    <t>Nguyễn Đức Tuấn</t>
  </si>
  <si>
    <t>06:00 - 06:45</t>
  </si>
  <si>
    <t>Ngày 16/8/2026
 - Check-in, nhận bộ kit
 - Chụp ảnh đội thi
 - Ăn sáng</t>
  </si>
  <si>
    <t>CTSV &amp; CTV</t>
  </si>
  <si>
    <t>Khách mời</t>
  </si>
  <si>
    <t>Diễn giả buổi workshop</t>
  </si>
  <si>
    <t>6:45 - 7:00</t>
  </si>
  <si>
    <t>Tập trung ổn định theo nhóm</t>
  </si>
  <si>
    <t>MENTOR</t>
  </si>
  <si>
    <t>7:00 - 14:00</t>
  </si>
  <si>
    <t>7 tiếng</t>
  </si>
  <si>
    <t>Các đội thực hiện thử thách và làm bài</t>
  </si>
  <si>
    <t>Ăn trưa tại chỗ</t>
  </si>
  <si>
    <t>Nguyễn Minh Sang</t>
  </si>
  <si>
    <t>Mentor</t>
  </si>
  <si>
    <t>14:00 - 15:45</t>
  </si>
  <si>
    <t>1 tiếng 45 phút</t>
  </si>
  <si>
    <t>Vòng sơ loại diễn ra</t>
  </si>
  <si>
    <t>Kiểm tra máy trước
 Mỗi nhóm có 8 phút (5 phút thuyết trình, 3 phút hỏi đáp)</t>
  </si>
  <si>
    <t>Đỗ Phúc Thịnh</t>
  </si>
  <si>
    <t>15:45 - 16:00</t>
  </si>
  <si>
    <t>15 phút</t>
  </si>
  <si>
    <t>Ban giám khảo tổng kết điểm và công bố các đội tiếp theo vào chung kết</t>
  </si>
  <si>
    <t>16:00 - 17:45</t>
  </si>
  <si>
    <t>Tôn Thất Hoàng Minh</t>
  </si>
  <si>
    <t>Vòng chung kết diễn ra</t>
  </si>
  <si>
    <t>Kiểm tra máy trước
 6 đội có số điểm cao nhất sẽ tiếp tục vào vòng chung kết
 Mỗi nhóm có 10 phút (7 phút thuyết trình, 3 phút hỏi đáp)</t>
  </si>
  <si>
    <t>Lê Nguyễn Sơn Vũ</t>
  </si>
  <si>
    <t>BAN GIÁM KHẢO</t>
  </si>
  <si>
    <t>17:45 - 18:00</t>
  </si>
  <si>
    <t>Ban giám khảo tổng kết điểm chung cuộc</t>
  </si>
  <si>
    <t>Phạm Thanh Trí</t>
  </si>
  <si>
    <t>18:00 - 19:00</t>
  </si>
  <si>
    <t>1 tiếng</t>
  </si>
  <si>
    <t>- Bế mạc cuộc thi
 - Công bố và trao giải
 - Chụp ảnh lưu niệm</t>
  </si>
  <si>
    <t>BM SE &amp; CTSV &amp; CTV</t>
  </si>
  <si>
    <t>Trao giải đồng hành dành cho thí sinh</t>
  </si>
  <si>
    <t>Nguyễn Ngọc Lâm</t>
  </si>
  <si>
    <t>19:00 - 23:00</t>
  </si>
  <si>
    <t>4 tiếng</t>
  </si>
  <si>
    <t>NCC tháo dỡ, dọn dẹp âm thanh,... BTC dọn dẹp và kết thúc cuộc thi</t>
  </si>
  <si>
    <t>BÀN</t>
  </si>
  <si>
    <t>VÒNG SƠ LOẠI - TRACK 1</t>
  </si>
  <si>
    <t>HỖ TRỢ MENTOR
(CLB HỌC THUẬT)</t>
  </si>
  <si>
    <t>VÒNG SƠ LOẠI - TRACK 2</t>
  </si>
  <si>
    <t>VÒNG SƠ LOẠI - TRACK 3</t>
  </si>
  <si>
    <t>CTV ĐIỀU PHỐI</t>
  </si>
  <si>
    <t>CỪA</t>
  </si>
  <si>
    <t>VÒNG CHUNG KẾT</t>
  </si>
  <si>
    <t>Lâm Hữu Khánh Phương</t>
  </si>
  <si>
    <t>Trần Hoàng Phúc</t>
  </si>
  <si>
    <t>ĐỘI THI TIẾP THEO CHỜ</t>
  </si>
  <si>
    <t>Khách mời từ Doanh nghiệp</t>
  </si>
  <si>
    <t>Công Ty Amazing Tech</t>
  </si>
  <si>
    <t>CÁC ĐỘI CÒN LẠI</t>
  </si>
  <si>
    <t>TẦNG G</t>
  </si>
  <si>
    <t>TIVI</t>
  </si>
  <si>
    <t>BẬC THANG</t>
  </si>
  <si>
    <r>
      <rPr>
        <rFont val="Cambria"/>
        <b/>
        <color rgb="FFFFFFFF"/>
      </rPr>
      <t>CTV ĐIỀU PHỐI</t>
    </r>
    <r>
      <rPr>
        <rFont val="Cambria"/>
        <color rgb="FFFFFFFF"/>
      </rPr>
      <t xml:space="preserve">
Khu vực lang cang tầng 1 - cánh trái</t>
    </r>
  </si>
  <si>
    <t>SEMINAR</t>
  </si>
  <si>
    <t>CỬA</t>
  </si>
  <si>
    <r>
      <rPr>
        <rFont val="Cambria"/>
        <b/>
        <color rgb="FFFFFFFF"/>
      </rPr>
      <t>CTV ĐIỀU PHỐI</t>
    </r>
    <r>
      <rPr>
        <rFont val="Cambria"/>
        <color rgb="FFFFFFFF"/>
      </rPr>
      <t xml:space="preserve">
Khu vực lang cang tầng 1 - cánh phải</t>
    </r>
  </si>
  <si>
    <t>Ngày</t>
  </si>
  <si>
    <t>BÊN</t>
  </si>
  <si>
    <t>SỐ LƯỢNG</t>
  </si>
  <si>
    <t>SRO</t>
  </si>
  <si>
    <t>FEV</t>
  </si>
  <si>
    <t>SEAL9</t>
  </si>
  <si>
    <t>02H</t>
  </si>
  <si>
    <t>SE</t>
  </si>
  <si>
    <t>Thí sinh</t>
  </si>
  <si>
    <t>Y tế</t>
  </si>
  <si>
    <t>IT</t>
  </si>
  <si>
    <t>KTHT</t>
  </si>
  <si>
    <t>Thư viện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</si>
</sst>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  <scheme val="minor"/>
    </font>
    <font>
      <b/>
      <color rgb="FFFFFFFF"/>
      <name val="Cambria"/>
    </font>
    <font>
      <b/>
      <sz val="11.0"/>
      <color rgb="FFFFFFFF"/>
      <name val="Cambria"/>
    </font>
    <font>
      <b/>
      <sz val="11.0"/>
      <color rgb="FFFF0000"/>
      <name val="Cambria"/>
    </font>
    <font>
      <b/>
      <sz val="11.0"/>
      <color theme="1"/>
      <name val="Cambria"/>
    </font>
    <font>
      <color theme="1"/>
      <name val="Cambria"/>
    </font>
    <font>
      <sz val="11.0"/>
      <color theme="1"/>
      <name val="Cambria"/>
    </font>
    <font>
      <color theme="1"/>
      <name val="Arial"/>
    </font>
    <font>
      <b/>
      <color theme="1"/>
      <name val="Cambria"/>
    </font>
    <font>
      <sz val="11.0"/>
      <color rgb="FF000000"/>
      <name val="Cambria"/>
    </font>
    <font/>
    <font>
      <b/>
      <sz val="11.0"/>
      <color rgb="FF000000"/>
      <name val="Cambria"/>
    </font>
    <font>
      <b/>
      <color rgb="FFFF0000"/>
      <name val="Cambria"/>
    </font>
    <font>
      <b/>
      <color rgb="FF000000"/>
      <name val="Cambria"/>
    </font>
    <font>
      <color rgb="FFFFFFFF"/>
      <name val="Cambria"/>
    </font>
    <font>
      <color rgb="FF000000"/>
      <name val="Cambria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66699"/>
        <bgColor rgb="FF666699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ck">
        <color rgb="FF000000"/>
      </top>
      <bottom style="thin">
        <color rgb="FFFFFFFF"/>
      </bottom>
    </border>
    <border>
      <top style="thick">
        <color rgb="FF000000"/>
      </top>
      <bottom style="thin">
        <color rgb="FFFFFFFF"/>
      </bottom>
    </border>
    <border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ck">
        <color rgb="FF000000"/>
      </right>
      <top style="thin">
        <color rgb="FFFFFFFF"/>
      </top>
    </border>
    <border>
      <left style="thick">
        <color rgb="FF000000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ck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000000"/>
      </right>
      <top style="thick">
        <color rgb="FFFFFFFF"/>
      </top>
    </border>
    <border>
      <left style="thick">
        <color rgb="FF000000"/>
      </left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ck">
        <color rgb="FF000000"/>
      </bottom>
    </border>
    <border>
      <left style="thick">
        <color rgb="FFFFFFFF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left style="thin">
        <color rgb="FFFFFFFF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2" fillId="4" fontId="3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5" fontId="2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vertical="center"/>
    </xf>
    <xf borderId="5" fillId="0" fontId="10" numFmtId="0" xfId="0" applyBorder="1" applyFont="1"/>
    <xf borderId="1" fillId="0" fontId="9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6" fillId="0" fontId="10" numFmtId="0" xfId="0" applyBorder="1" applyFont="1"/>
    <xf borderId="7" fillId="0" fontId="10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8" fillId="7" fontId="2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vertical="center"/>
    </xf>
    <xf borderId="9" fillId="0" fontId="10" numFmtId="0" xfId="0" applyBorder="1" applyFont="1"/>
    <xf borderId="3" fillId="8" fontId="11" numFmtId="0" xfId="0" applyAlignment="1" applyBorder="1" applyFill="1" applyFont="1">
      <alignment horizontal="center" readingOrder="0" shrinkToFit="0" vertical="center" wrapText="1"/>
    </xf>
    <xf borderId="8" fillId="0" fontId="7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0" fillId="0" fontId="10" numFmtId="0" xfId="0" applyBorder="1" applyFont="1"/>
    <xf borderId="1" fillId="0" fontId="11" numFmtId="0" xfId="0" applyAlignment="1" applyBorder="1" applyFont="1">
      <alignment readingOrder="0" shrinkToFit="0" vertical="center" wrapText="1"/>
    </xf>
    <xf quotePrefix="1" borderId="1" fillId="0" fontId="5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vertical="center"/>
    </xf>
    <xf borderId="12" fillId="0" fontId="10" numFmtId="0" xfId="0" applyBorder="1" applyFont="1"/>
    <xf borderId="13" fillId="0" fontId="10" numFmtId="0" xfId="0" applyBorder="1" applyFont="1"/>
    <xf borderId="1" fillId="9" fontId="11" numFmtId="0" xfId="0" applyAlignment="1" applyBorder="1" applyFill="1" applyFont="1">
      <alignment readingOrder="0" shrinkToFit="0" vertical="center" wrapText="1"/>
    </xf>
    <xf borderId="3" fillId="6" fontId="8" numFmtId="0" xfId="0" applyAlignment="1" applyBorder="1" applyFont="1">
      <alignment horizontal="center" readingOrder="0" shrinkToFit="0" vertical="center" wrapText="1"/>
    </xf>
    <xf borderId="14" fillId="10" fontId="4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vertical="center"/>
    </xf>
    <xf borderId="1" fillId="0" fontId="5" numFmtId="0" xfId="0" applyAlignment="1" applyBorder="1" applyFont="1">
      <alignment horizontal="left" readingOrder="0" shrinkToFit="0" vertical="center" wrapText="1"/>
    </xf>
    <xf borderId="16" fillId="0" fontId="10" numFmtId="0" xfId="0" applyBorder="1" applyFont="1"/>
    <xf borderId="1" fillId="0" fontId="5" numFmtId="0" xfId="0" applyAlignment="1" applyBorder="1" applyFont="1">
      <alignment readingOrder="0" shrinkToFit="0" vertical="center" wrapText="1"/>
    </xf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22" fillId="0" fontId="10" numFmtId="0" xfId="0" applyBorder="1" applyFont="1"/>
    <xf borderId="1" fillId="0" fontId="6" numFmtId="0" xfId="0" applyAlignment="1" applyBorder="1" applyFont="1">
      <alignment readingOrder="0" shrinkToFit="0" vertical="center" wrapText="1"/>
    </xf>
    <xf borderId="23" fillId="0" fontId="10" numFmtId="0" xfId="0" applyBorder="1" applyFont="1"/>
    <xf borderId="24" fillId="0" fontId="10" numFmtId="0" xfId="0" applyBorder="1" applyFont="1"/>
    <xf borderId="1" fillId="0" fontId="5" numFmtId="0" xfId="0" applyAlignment="1" applyBorder="1" applyFont="1">
      <alignment readingOrder="0" vertical="center"/>
    </xf>
    <xf borderId="25" fillId="0" fontId="10" numFmtId="0" xfId="0" applyBorder="1" applyFont="1"/>
    <xf borderId="14" fillId="0" fontId="7" numFmtId="0" xfId="0" applyAlignment="1" applyBorder="1" applyFont="1">
      <alignment vertical="center"/>
    </xf>
    <xf borderId="26" fillId="11" fontId="3" numFmtId="0" xfId="0" applyAlignment="1" applyBorder="1" applyFill="1" applyFont="1">
      <alignment horizontal="center" vertical="center"/>
    </xf>
    <xf borderId="27" fillId="0" fontId="10" numFmtId="0" xfId="0" applyBorder="1" applyFont="1"/>
    <xf borderId="28" fillId="0" fontId="10" numFmtId="0" xfId="0" applyBorder="1" applyFont="1"/>
    <xf borderId="29" fillId="0" fontId="10" numFmtId="0" xfId="0" applyBorder="1" applyFont="1"/>
    <xf borderId="30" fillId="0" fontId="10" numFmtId="0" xfId="0" applyBorder="1" applyFont="1"/>
    <xf borderId="31" fillId="12" fontId="4" numFmtId="0" xfId="0" applyAlignment="1" applyBorder="1" applyFill="1" applyFont="1">
      <alignment horizontal="center" vertical="center"/>
    </xf>
    <xf borderId="32" fillId="0" fontId="7" numFmtId="0" xfId="0" applyAlignment="1" applyBorder="1" applyFont="1">
      <alignment vertical="center"/>
    </xf>
    <xf borderId="3" fillId="4" fontId="12" numFmtId="0" xfId="0" applyAlignment="1" applyBorder="1" applyFont="1">
      <alignment horizontal="center" shrinkToFit="0" vertical="center" wrapText="1"/>
    </xf>
    <xf borderId="26" fillId="12" fontId="4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33" fillId="0" fontId="10" numFmtId="0" xfId="0" applyBorder="1" applyFont="1"/>
    <xf borderId="1" fillId="0" fontId="13" numFmtId="0" xfId="0" applyAlignment="1" applyBorder="1" applyFont="1">
      <alignment horizontal="center" vertical="center"/>
    </xf>
    <xf borderId="26" fillId="0" fontId="7" numFmtId="0" xfId="0" applyAlignment="1" applyBorder="1" applyFont="1">
      <alignment vertical="center"/>
    </xf>
    <xf borderId="26" fillId="13" fontId="14" numFmtId="0" xfId="0" applyAlignment="1" applyBorder="1" applyFill="1" applyFont="1">
      <alignment horizontal="center" vertical="center"/>
    </xf>
    <xf borderId="34" fillId="0" fontId="7" numFmtId="0" xfId="0" applyAlignment="1" applyBorder="1" applyFont="1">
      <alignment vertical="center"/>
    </xf>
    <xf borderId="35" fillId="0" fontId="10" numFmtId="0" xfId="0" applyBorder="1" applyFont="1"/>
    <xf borderId="36" fillId="0" fontId="10" numFmtId="0" xfId="0" applyBorder="1" applyFont="1"/>
    <xf borderId="1" fillId="0" fontId="15" numFmtId="0" xfId="0" applyAlignment="1" applyBorder="1" applyFont="1">
      <alignment shrinkToFit="0" vertical="center" wrapText="1"/>
    </xf>
    <xf borderId="37" fillId="0" fontId="10" numFmtId="0" xfId="0" applyBorder="1" applyFont="1"/>
    <xf borderId="1" fillId="0" fontId="15" numFmtId="0" xfId="0" applyAlignment="1" applyBorder="1" applyFont="1">
      <alignment vertical="center"/>
    </xf>
    <xf borderId="38" fillId="0" fontId="10" numFmtId="0" xfId="0" applyBorder="1" applyFont="1"/>
    <xf borderId="39" fillId="14" fontId="4" numFmtId="0" xfId="0" applyAlignment="1" applyBorder="1" applyFill="1" applyFont="1">
      <alignment horizontal="center" vertical="center"/>
    </xf>
    <xf borderId="40" fillId="0" fontId="10" numFmtId="0" xfId="0" applyBorder="1" applyFont="1"/>
    <xf borderId="41" fillId="0" fontId="10" numFmtId="0" xfId="0" applyBorder="1" applyFont="1"/>
    <xf borderId="42" fillId="0" fontId="10" numFmtId="0" xfId="0" applyBorder="1" applyFont="1"/>
    <xf borderId="43" fillId="0" fontId="10" numFmtId="0" xfId="0" applyBorder="1" applyFont="1"/>
    <xf borderId="44" fillId="0" fontId="10" numFmtId="0" xfId="0" applyBorder="1" applyFont="1"/>
    <xf borderId="1" fillId="0" fontId="13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2" fillId="13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readingOrder="0" shrinkToFit="0" vertical="center" wrapText="1"/>
    </xf>
    <xf borderId="26" fillId="15" fontId="4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readingOrder="0" vertical="center"/>
    </xf>
    <xf borderId="14" fillId="16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43" fillId="0" fontId="7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29" fillId="7" fontId="2" numFmtId="0" xfId="0" applyAlignment="1" applyBorder="1" applyFont="1">
      <alignment horizontal="center" vertical="center"/>
    </xf>
    <xf borderId="31" fillId="10" fontId="4" numFmtId="0" xfId="0" applyAlignment="1" applyBorder="1" applyFont="1">
      <alignment horizontal="center" shrinkToFit="0" vertical="center" wrapText="1"/>
    </xf>
    <xf borderId="31" fillId="0" fontId="7" numFmtId="0" xfId="0" applyAlignment="1" applyBorder="1" applyFont="1">
      <alignment vertical="center"/>
    </xf>
    <xf borderId="32" fillId="13" fontId="1" numFmtId="0" xfId="0" applyAlignment="1" applyBorder="1" applyFont="1">
      <alignment horizontal="center" vertical="center"/>
    </xf>
    <xf borderId="26" fillId="14" fontId="4" numFmtId="0" xfId="0" applyAlignment="1" applyBorder="1" applyFont="1">
      <alignment horizontal="center" vertical="center"/>
    </xf>
    <xf borderId="45" fillId="0" fontId="7" numFmtId="0" xfId="0" applyAlignment="1" applyBorder="1" applyFont="1">
      <alignment vertical="center"/>
    </xf>
    <xf borderId="46" fillId="0" fontId="10" numFmtId="0" xfId="0" applyBorder="1" applyFont="1"/>
    <xf borderId="0" fillId="13" fontId="14" numFmtId="0" xfId="0" applyAlignment="1" applyFont="1">
      <alignment horizontal="center" shrinkToFit="0" vertical="center" wrapText="1"/>
    </xf>
    <xf borderId="0" fillId="15" fontId="4" numFmtId="0" xfId="0" applyAlignment="1" applyFont="1">
      <alignment horizontal="center" vertical="center"/>
    </xf>
    <xf borderId="19" fillId="0" fontId="7" numFmtId="0" xfId="0" applyAlignment="1" applyBorder="1" applyFont="1">
      <alignment vertical="center"/>
    </xf>
    <xf borderId="20" fillId="0" fontId="7" numFmtId="0" xfId="0" applyAlignment="1" applyBorder="1" applyFont="1">
      <alignment vertical="center"/>
    </xf>
    <xf borderId="47" fillId="0" fontId="7" numFmtId="0" xfId="0" applyAlignment="1" applyBorder="1" applyFont="1">
      <alignment vertical="center"/>
    </xf>
    <xf borderId="48" fillId="0" fontId="10" numFmtId="0" xfId="0" applyBorder="1" applyFont="1"/>
    <xf borderId="49" fillId="0" fontId="7" numFmtId="0" xfId="0" applyAlignment="1" applyBorder="1" applyFont="1">
      <alignment vertical="center"/>
    </xf>
    <xf borderId="50" fillId="0" fontId="10" numFmtId="0" xfId="0" applyBorder="1" applyFont="1"/>
    <xf borderId="15" fillId="11" fontId="3" numFmtId="0" xfId="0" applyAlignment="1" applyBorder="1" applyFont="1">
      <alignment horizontal="center" vertical="center"/>
    </xf>
    <xf borderId="26" fillId="7" fontId="2" numFmtId="0" xfId="0" applyAlignment="1" applyBorder="1" applyFont="1">
      <alignment horizontal="center" vertical="center"/>
    </xf>
    <xf borderId="26" fillId="10" fontId="4" numFmtId="0" xfId="0" applyAlignment="1" applyBorder="1" applyFont="1">
      <alignment horizontal="center" shrinkToFit="0" vertical="center" wrapText="1"/>
    </xf>
    <xf borderId="51" fillId="13" fontId="1" numFmtId="0" xfId="0" applyAlignment="1" applyBorder="1" applyFont="1">
      <alignment horizontal="center" vertical="center"/>
    </xf>
    <xf borderId="39" fillId="0" fontId="7" numFmtId="0" xfId="0" applyAlignment="1" applyBorder="1" applyFont="1">
      <alignment vertical="center"/>
    </xf>
    <xf borderId="52" fillId="0" fontId="7" numFmtId="0" xfId="0" applyAlignment="1" applyBorder="1" applyFont="1">
      <alignment vertical="center"/>
    </xf>
    <xf borderId="53" fillId="0" fontId="10" numFmtId="0" xfId="0" applyBorder="1" applyFont="1"/>
    <xf borderId="29" fillId="14" fontId="4" numFmtId="0" xfId="0" applyAlignment="1" applyBorder="1" applyFont="1">
      <alignment horizontal="center" vertical="center"/>
    </xf>
    <xf borderId="32" fillId="13" fontId="14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/>
    </xf>
    <xf borderId="0" fillId="0" fontId="7" numFmtId="0" xfId="0" applyFont="1"/>
    <xf borderId="54" fillId="0" fontId="8" numFmtId="164" xfId="0" applyAlignment="1" applyBorder="1" applyFont="1" applyNumberFormat="1">
      <alignment horizontal="center" readingOrder="0" vertical="center"/>
    </xf>
    <xf borderId="1" fillId="0" fontId="5" numFmtId="0" xfId="0" applyBorder="1" applyFont="1"/>
    <xf borderId="1" fillId="0" fontId="5" numFmtId="0" xfId="0" applyAlignment="1" applyBorder="1" applyFont="1">
      <alignment horizontal="right"/>
    </xf>
    <xf borderId="55" fillId="0" fontId="10" numFmtId="0" xfId="0" applyBorder="1" applyFont="1"/>
    <xf borderId="1" fillId="0" fontId="5" numFmtId="0" xfId="0" applyAlignment="1" applyBorder="1" applyFont="1">
      <alignment horizontal="right" readingOrder="0"/>
    </xf>
    <xf borderId="0" fillId="0" fontId="7" numFmtId="0" xfId="0" applyAlignment="1" applyFont="1">
      <alignment horizontal="right"/>
    </xf>
    <xf borderId="56" fillId="0" fontId="10" numFmtId="0" xfId="0" applyBorder="1" applyFont="1"/>
    <xf borderId="1" fillId="0" fontId="7" numFmtId="0" xfId="0" applyBorder="1" applyFont="1"/>
    <xf borderId="1" fillId="4" fontId="8" numFmtId="0" xfId="0" applyAlignment="1" applyBorder="1" applyFont="1">
      <alignment horizontal="right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2.0"/>
    <col customWidth="1" min="3" max="3" width="64.38"/>
    <col customWidth="1" min="4" max="4" width="20.63"/>
    <col customWidth="1" min="5" max="5" width="44.0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7" t="s">
        <v>10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15</v>
      </c>
      <c r="B2" s="12" t="s">
        <v>16</v>
      </c>
      <c r="C2" s="12" t="s">
        <v>17</v>
      </c>
      <c r="D2" s="12" t="s">
        <v>18</v>
      </c>
      <c r="E2" s="17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20</v>
      </c>
      <c r="B3" s="12" t="s">
        <v>21</v>
      </c>
      <c r="C3" s="21" t="s">
        <v>22</v>
      </c>
      <c r="D3" s="12" t="s">
        <v>18</v>
      </c>
      <c r="E3" s="17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7" t="s">
        <v>29</v>
      </c>
      <c r="B4" s="16"/>
      <c r="C4" s="16"/>
      <c r="D4" s="16"/>
      <c r="E4" s="2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45</v>
      </c>
      <c r="B5" s="12" t="s">
        <v>46</v>
      </c>
      <c r="C5" s="31" t="s">
        <v>47</v>
      </c>
      <c r="D5" s="12" t="s">
        <v>49</v>
      </c>
      <c r="E5" s="17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50</v>
      </c>
      <c r="B6" s="12" t="s">
        <v>51</v>
      </c>
      <c r="C6" s="31" t="s">
        <v>52</v>
      </c>
      <c r="D6" s="12" t="s">
        <v>53</v>
      </c>
      <c r="E6" s="1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57</v>
      </c>
      <c r="B7" s="12" t="s">
        <v>59</v>
      </c>
      <c r="C7" s="36" t="s">
        <v>60</v>
      </c>
      <c r="D7" s="12" t="s">
        <v>62</v>
      </c>
      <c r="E7" s="17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63</v>
      </c>
      <c r="B8" s="12" t="s">
        <v>64</v>
      </c>
      <c r="C8" s="39" t="s">
        <v>65</v>
      </c>
      <c r="D8" s="12" t="s">
        <v>62</v>
      </c>
      <c r="E8" s="1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67</v>
      </c>
      <c r="B9" s="12" t="s">
        <v>59</v>
      </c>
      <c r="C9" s="39" t="s">
        <v>68</v>
      </c>
      <c r="D9" s="12" t="s">
        <v>69</v>
      </c>
      <c r="E9" s="1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7" t="s">
        <v>70</v>
      </c>
      <c r="B10" s="16"/>
      <c r="C10" s="16"/>
      <c r="D10" s="16"/>
      <c r="E10" s="2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72</v>
      </c>
      <c r="B11" s="12" t="s">
        <v>59</v>
      </c>
      <c r="C11" s="31" t="s">
        <v>73</v>
      </c>
      <c r="D11" s="12" t="s">
        <v>74</v>
      </c>
      <c r="E11" s="1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 t="s">
        <v>77</v>
      </c>
      <c r="B12" s="12" t="s">
        <v>59</v>
      </c>
      <c r="C12" s="12" t="s">
        <v>78</v>
      </c>
      <c r="D12" s="12" t="s">
        <v>62</v>
      </c>
      <c r="E12" s="1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80</v>
      </c>
      <c r="B13" s="12" t="s">
        <v>81</v>
      </c>
      <c r="C13" s="12" t="s">
        <v>82</v>
      </c>
      <c r="D13" s="12" t="s">
        <v>62</v>
      </c>
      <c r="E13" s="12" t="s">
        <v>83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2" t="s">
        <v>86</v>
      </c>
      <c r="B14" s="52" t="s">
        <v>87</v>
      </c>
      <c r="C14" s="52" t="s">
        <v>88</v>
      </c>
      <c r="D14" s="52" t="s">
        <v>62</v>
      </c>
      <c r="E14" s="52" t="s">
        <v>89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 t="s">
        <v>91</v>
      </c>
      <c r="B15" s="12" t="s">
        <v>92</v>
      </c>
      <c r="C15" s="12" t="s">
        <v>93</v>
      </c>
      <c r="D15" s="12" t="s">
        <v>62</v>
      </c>
      <c r="E15" s="1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2" t="s">
        <v>94</v>
      </c>
      <c r="B16" s="52" t="s">
        <v>87</v>
      </c>
      <c r="C16" s="52" t="s">
        <v>96</v>
      </c>
      <c r="D16" s="52" t="s">
        <v>62</v>
      </c>
      <c r="E16" s="52" t="s">
        <v>97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 t="s">
        <v>100</v>
      </c>
      <c r="B17" s="12" t="s">
        <v>92</v>
      </c>
      <c r="C17" s="12" t="s">
        <v>101</v>
      </c>
      <c r="D17" s="12" t="s">
        <v>18</v>
      </c>
      <c r="E17" s="1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 t="s">
        <v>103</v>
      </c>
      <c r="B18" s="12" t="s">
        <v>104</v>
      </c>
      <c r="C18" s="12" t="s">
        <v>105</v>
      </c>
      <c r="D18" s="12" t="s">
        <v>106</v>
      </c>
      <c r="E18" s="12" t="s">
        <v>107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 t="s">
        <v>109</v>
      </c>
      <c r="B19" s="12" t="s">
        <v>110</v>
      </c>
      <c r="C19" s="12" t="s">
        <v>111</v>
      </c>
      <c r="D19" s="12" t="s">
        <v>53</v>
      </c>
      <c r="E19" s="1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2">
    <mergeCell ref="A4:E4"/>
    <mergeCell ref="A10:E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39.75"/>
  </cols>
  <sheetData>
    <row r="1">
      <c r="A1" s="4" t="s">
        <v>2</v>
      </c>
      <c r="B1" s="4" t="s">
        <v>11</v>
      </c>
      <c r="C1" s="4" t="s">
        <v>12</v>
      </c>
      <c r="D1" s="4" t="s">
        <v>10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13</v>
      </c>
      <c r="B2" s="13">
        <v>7000000.0</v>
      </c>
      <c r="C2" s="14" t="s">
        <v>19</v>
      </c>
      <c r="D2" s="1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24</v>
      </c>
      <c r="B3" s="13">
        <v>5000000.0</v>
      </c>
      <c r="C3" s="14" t="s">
        <v>19</v>
      </c>
      <c r="D3" s="1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25</v>
      </c>
      <c r="B4" s="13">
        <v>3000000.0</v>
      </c>
      <c r="C4" s="14" t="s">
        <v>19</v>
      </c>
      <c r="D4" s="1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 t="s">
        <v>26</v>
      </c>
      <c r="B5" s="13">
        <v>1500000.0</v>
      </c>
      <c r="C5" s="14" t="s">
        <v>27</v>
      </c>
      <c r="D5" s="1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.0" customHeight="1">
      <c r="A6" s="25" t="s">
        <v>28</v>
      </c>
      <c r="B6" s="6"/>
      <c r="C6" s="25" t="s">
        <v>36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5.5" customHeight="1">
      <c r="A7" s="25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1.5"/>
    <col customWidth="1" min="3" max="3" width="31.13"/>
    <col customWidth="1" min="4" max="4" width="50.38"/>
  </cols>
  <sheetData>
    <row r="1" ht="18.75" customHeight="1">
      <c r="A1" s="1" t="s">
        <v>0</v>
      </c>
      <c r="B1" s="1" t="s">
        <v>3</v>
      </c>
      <c r="C1" s="1" t="s">
        <v>4</v>
      </c>
      <c r="D1" s="1" t="s">
        <v>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1" t="s">
        <v>14</v>
      </c>
      <c r="B2" s="16"/>
      <c r="C2" s="16"/>
      <c r="D2" s="2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23">
        <v>1.0</v>
      </c>
      <c r="B3" s="24" t="s">
        <v>30</v>
      </c>
      <c r="C3" s="24" t="s">
        <v>31</v>
      </c>
      <c r="D3" s="24" t="s">
        <v>32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23">
        <v>2.0</v>
      </c>
      <c r="B4" s="24" t="s">
        <v>33</v>
      </c>
      <c r="C4" s="24" t="s">
        <v>34</v>
      </c>
      <c r="D4" s="24" t="s">
        <v>35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3">
        <v>3.0</v>
      </c>
      <c r="B5" s="24" t="s">
        <v>37</v>
      </c>
      <c r="C5" s="24" t="s">
        <v>38</v>
      </c>
      <c r="D5" s="24" t="s">
        <v>39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23">
        <v>4.0</v>
      </c>
      <c r="B6" s="24" t="s">
        <v>40</v>
      </c>
      <c r="C6" s="24" t="s">
        <v>41</v>
      </c>
      <c r="D6" s="24" t="s">
        <v>42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3">
        <v>5.0</v>
      </c>
      <c r="B7" s="24" t="s">
        <v>44</v>
      </c>
      <c r="C7" s="29"/>
      <c r="D7" s="32" t="s">
        <v>48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3">
        <v>6.0</v>
      </c>
      <c r="B8" s="24" t="s">
        <v>54</v>
      </c>
      <c r="C8" s="24" t="s">
        <v>55</v>
      </c>
      <c r="D8" s="24" t="s">
        <v>56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7" t="s">
        <v>58</v>
      </c>
      <c r="B9" s="16"/>
      <c r="C9" s="16"/>
      <c r="D9" s="2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0">
        <v>1.0</v>
      </c>
      <c r="B10" s="24" t="s">
        <v>33</v>
      </c>
      <c r="C10" s="24" t="s">
        <v>34</v>
      </c>
      <c r="D10" s="42" t="s">
        <v>66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0">
        <v>2.0</v>
      </c>
      <c r="B11" s="44" t="s">
        <v>71</v>
      </c>
      <c r="C11" s="44" t="s">
        <v>75</v>
      </c>
      <c r="D11" s="42" t="s">
        <v>76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1" t="s">
        <v>79</v>
      </c>
      <c r="B12" s="16"/>
      <c r="C12" s="16"/>
      <c r="D12" s="2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0">
        <v>1.0</v>
      </c>
      <c r="B13" s="44" t="s">
        <v>84</v>
      </c>
      <c r="C13" s="24" t="s">
        <v>34</v>
      </c>
      <c r="D13" s="24" t="s">
        <v>85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0">
        <v>2.0</v>
      </c>
      <c r="B14" s="55" t="s">
        <v>90</v>
      </c>
      <c r="C14" s="24" t="s">
        <v>34</v>
      </c>
      <c r="D14" s="24" t="s">
        <v>85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0">
        <v>3.0</v>
      </c>
      <c r="B15" s="44" t="s">
        <v>95</v>
      </c>
      <c r="C15" s="24" t="s">
        <v>34</v>
      </c>
      <c r="D15" s="24" t="s">
        <v>85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0">
        <v>4.0</v>
      </c>
      <c r="B16" s="44" t="s">
        <v>98</v>
      </c>
      <c r="C16" s="24" t="s">
        <v>34</v>
      </c>
      <c r="D16" s="24" t="s">
        <v>85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0">
        <v>5.0</v>
      </c>
      <c r="B17" s="44" t="s">
        <v>102</v>
      </c>
      <c r="C17" s="24" t="s">
        <v>34</v>
      </c>
      <c r="D17" s="24" t="s">
        <v>85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0">
        <v>6.0</v>
      </c>
      <c r="B18" s="55" t="s">
        <v>108</v>
      </c>
      <c r="C18" s="24" t="s">
        <v>34</v>
      </c>
      <c r="D18" s="24" t="s">
        <v>85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1" t="s">
        <v>99</v>
      </c>
      <c r="B19" s="16"/>
      <c r="C19" s="16"/>
      <c r="D19" s="2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65" t="s">
        <v>113</v>
      </c>
      <c r="B20" s="16"/>
      <c r="C20" s="16"/>
      <c r="D20" s="2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67">
        <v>1.0</v>
      </c>
      <c r="B21" s="44" t="s">
        <v>102</v>
      </c>
      <c r="C21" s="24" t="s">
        <v>34</v>
      </c>
      <c r="D21" s="2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67">
        <v>2.0</v>
      </c>
      <c r="B22" s="55" t="s">
        <v>90</v>
      </c>
      <c r="C22" s="24" t="s">
        <v>34</v>
      </c>
      <c r="D22" s="2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65" t="s">
        <v>115</v>
      </c>
      <c r="B23" s="16"/>
      <c r="C23" s="16"/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67">
        <v>1.0</v>
      </c>
      <c r="B24" s="44" t="s">
        <v>95</v>
      </c>
      <c r="C24" s="24" t="s">
        <v>34</v>
      </c>
      <c r="D24" s="2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67">
        <v>2.0</v>
      </c>
      <c r="B25" s="44" t="s">
        <v>98</v>
      </c>
      <c r="C25" s="24" t="s">
        <v>34</v>
      </c>
      <c r="D25" s="2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65" t="s">
        <v>116</v>
      </c>
      <c r="B26" s="16"/>
      <c r="C26" s="16"/>
      <c r="D26" s="2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69">
        <v>1.0</v>
      </c>
      <c r="B27" s="44" t="s">
        <v>84</v>
      </c>
      <c r="C27" s="75" t="s">
        <v>34</v>
      </c>
      <c r="D27" s="7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69">
        <v>2.0</v>
      </c>
      <c r="B28" s="55" t="s">
        <v>108</v>
      </c>
      <c r="C28" s="75" t="s">
        <v>34</v>
      </c>
      <c r="D28" s="7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65" t="s">
        <v>119</v>
      </c>
      <c r="B29" s="16"/>
      <c r="C29" s="16"/>
      <c r="D29" s="20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85">
        <v>1.0</v>
      </c>
      <c r="B30" s="75" t="s">
        <v>30</v>
      </c>
      <c r="C30" s="75" t="s">
        <v>31</v>
      </c>
      <c r="D30" s="7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85">
        <v>2.0</v>
      </c>
      <c r="B31" s="75" t="s">
        <v>120</v>
      </c>
      <c r="C31" s="75" t="s">
        <v>34</v>
      </c>
      <c r="D31" s="7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85">
        <v>3.0</v>
      </c>
      <c r="B32" s="75" t="s">
        <v>33</v>
      </c>
      <c r="C32" s="75" t="s">
        <v>34</v>
      </c>
      <c r="D32" s="7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85">
        <v>4.0</v>
      </c>
      <c r="B33" s="88" t="s">
        <v>121</v>
      </c>
      <c r="C33" s="88" t="s">
        <v>123</v>
      </c>
      <c r="D33" s="90" t="s">
        <v>124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85">
        <v>5.0</v>
      </c>
      <c r="B34" s="75"/>
      <c r="C34" s="88" t="s">
        <v>123</v>
      </c>
      <c r="D34" s="7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9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9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9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9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9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9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9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9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9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9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9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9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9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9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9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9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9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9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9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9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9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9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9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9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9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9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9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9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9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9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9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9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9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9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9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9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9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9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9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9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9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9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9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9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9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9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9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9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9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9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9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9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9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9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9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9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9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9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9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9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9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9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9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9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9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9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9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9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9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9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9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9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9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9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9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9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9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9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9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9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9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9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9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9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9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9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9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9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9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9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9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9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9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9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9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9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9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9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9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9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9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9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9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9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9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9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9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9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9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9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9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9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9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9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9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9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9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9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9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9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9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9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9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9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9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9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9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9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9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9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9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9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9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9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9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9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9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9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9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9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9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9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9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9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9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9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9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9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9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9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9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9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9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9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9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9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9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9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9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9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9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9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9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9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9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9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9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9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9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9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9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9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9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9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9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9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9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9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9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9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9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9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9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9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9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9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9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9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9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9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9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9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9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9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9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9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9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9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9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9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9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9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9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9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9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9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9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9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9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9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9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9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9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9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9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9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9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9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9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9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9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9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9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9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9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9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9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9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9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9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9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9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9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9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9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9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9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9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9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9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9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9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9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9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9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9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9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9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9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9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9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9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9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9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9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9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9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9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9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9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9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9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9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9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9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9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9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9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9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9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9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9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9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9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9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9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9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9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9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9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9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9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9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9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9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9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9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9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9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9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9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9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9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9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9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9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9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9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9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9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9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9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9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9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9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9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9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9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9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9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9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9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9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9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9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9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9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9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9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9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9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9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9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9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9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9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9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9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9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9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9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9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9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9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9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9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9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9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9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9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9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9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9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9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9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9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9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9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9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9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9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9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9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9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9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9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9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9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9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9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9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9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9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9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9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9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9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9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9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9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9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9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9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9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9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9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9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9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9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9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9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9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9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9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9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9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9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9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9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9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9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9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9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9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9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9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9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9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9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9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9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9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9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9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9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9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9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9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9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9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9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9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9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9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9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9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9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9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9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9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9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9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9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9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9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9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9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9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9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9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9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9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9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9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9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9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9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9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9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9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9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9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9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9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9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9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9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9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9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9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9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9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9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9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9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9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9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9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9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9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9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9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9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9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9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9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9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9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9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9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9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9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9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9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9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9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9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9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9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9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9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9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9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9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9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9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9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9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9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9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9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9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9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9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9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9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9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9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9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9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9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9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9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9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9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9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9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9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9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9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9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9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9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9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9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9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9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9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9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9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9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9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9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9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9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9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9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9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9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9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9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9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9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9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9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9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9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9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9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9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9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9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9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9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9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9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9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9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9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9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9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9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9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9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9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9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9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9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9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9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9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9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9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9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9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9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9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9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9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9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9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9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9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9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9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9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9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9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9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9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9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9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9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9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9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9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9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9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9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9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9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9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9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9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9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9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9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9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9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9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9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9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9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9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9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9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9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9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9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9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9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9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9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9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9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9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9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9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9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9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9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9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9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9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9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9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9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9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9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9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9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9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9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9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9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9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9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9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9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9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9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9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9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9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9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9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9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9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9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9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9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9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9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9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9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9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9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9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9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9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9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9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9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9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9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9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9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9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9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9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9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9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9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9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9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9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9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9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9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9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9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9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9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9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9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9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9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9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9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9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9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9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9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9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9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9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9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9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9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9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9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9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9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9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9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9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9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9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9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9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9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9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9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9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9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9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9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9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9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9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9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9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9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9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9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9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9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9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9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9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9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9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9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9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9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9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9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9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9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9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9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9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9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9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9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9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9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9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9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9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9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9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9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9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9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9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9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9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9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9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9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9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9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9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9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9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9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9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9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9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9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9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9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9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9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9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9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9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9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9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9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9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9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9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9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9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9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9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9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9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9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9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9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9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9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9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9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9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9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9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9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9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9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9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9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9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9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9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9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9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9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9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9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9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9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9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9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9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9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9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9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9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9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9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9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9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9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9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9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9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9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9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9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9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9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9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9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9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9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9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9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9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9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9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9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9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9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9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9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9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9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9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9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9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9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9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9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9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9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9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9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9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9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9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9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9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9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9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9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9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9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9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9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9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9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9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9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9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9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9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9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9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9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9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9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9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9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9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9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9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9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9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9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9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9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9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9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9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9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9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9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9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9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9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9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9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9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9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9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9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9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9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9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9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9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9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9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9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9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9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9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9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9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9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9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9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9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9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9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9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9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9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9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9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9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9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9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9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9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9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9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9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9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9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9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9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9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9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9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9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9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9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9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9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9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9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9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9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9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9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9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9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9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9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9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9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92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92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92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92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92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92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92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</sheetData>
  <mergeCells count="8">
    <mergeCell ref="A2:D2"/>
    <mergeCell ref="A9:D9"/>
    <mergeCell ref="A12:D12"/>
    <mergeCell ref="A19:D19"/>
    <mergeCell ref="A20:D20"/>
    <mergeCell ref="A23:D23"/>
    <mergeCell ref="A26:D26"/>
    <mergeCell ref="A29:D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/>
      <c r="B3" s="19"/>
      <c r="C3" s="22" t="s">
        <v>23</v>
      </c>
      <c r="D3" s="26"/>
      <c r="E3" s="19"/>
      <c r="F3" s="28"/>
      <c r="G3" s="26"/>
      <c r="H3" s="3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3"/>
      <c r="B4" s="34"/>
      <c r="C4" s="34"/>
      <c r="D4" s="34"/>
      <c r="E4" s="35"/>
      <c r="F4" s="38" t="s">
        <v>61</v>
      </c>
      <c r="G4" s="41"/>
      <c r="H4" s="4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5"/>
      <c r="E5" s="46"/>
      <c r="F5" s="47"/>
      <c r="G5" s="48"/>
      <c r="H5" s="4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5"/>
      <c r="E6" s="46"/>
      <c r="F6" s="47"/>
      <c r="G6" s="48"/>
      <c r="H6" s="4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5"/>
      <c r="E7" s="46"/>
      <c r="F7" s="51"/>
      <c r="G7" s="48"/>
      <c r="H7" s="4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3"/>
      <c r="B8" s="54"/>
      <c r="C8" s="54"/>
      <c r="D8" s="54"/>
      <c r="E8" s="56"/>
      <c r="F8" s="57"/>
      <c r="G8" s="48"/>
      <c r="H8" s="4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3"/>
      <c r="B9" s="35"/>
      <c r="C9" s="58" t="s">
        <v>99</v>
      </c>
      <c r="D9" s="59"/>
      <c r="E9" s="60"/>
      <c r="F9" s="47"/>
      <c r="G9" s="48"/>
      <c r="H9" s="4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5"/>
      <c r="B10" s="46"/>
      <c r="C10" s="41"/>
      <c r="D10" s="34"/>
      <c r="E10" s="35"/>
      <c r="F10" s="47"/>
      <c r="G10" s="48"/>
      <c r="H10" s="4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3"/>
      <c r="B11" s="56"/>
      <c r="C11" s="61"/>
      <c r="D11" s="54"/>
      <c r="E11" s="56"/>
      <c r="F11" s="47"/>
      <c r="G11" s="61"/>
      <c r="H11" s="6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3" t="s">
        <v>112</v>
      </c>
      <c r="B12" s="60"/>
      <c r="C12" s="64"/>
      <c r="D12" s="66" t="s">
        <v>114</v>
      </c>
      <c r="E12" s="60"/>
      <c r="F12" s="51"/>
      <c r="G12" s="66" t="s">
        <v>112</v>
      </c>
      <c r="H12" s="6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3"/>
      <c r="B13" s="34"/>
      <c r="C13" s="34"/>
      <c r="D13" s="34"/>
      <c r="E13" s="34"/>
      <c r="F13" s="34"/>
      <c r="G13" s="34"/>
      <c r="H13" s="43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5"/>
      <c r="H14" s="4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5"/>
      <c r="H15" s="4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3"/>
      <c r="B16" s="54"/>
      <c r="C16" s="54"/>
      <c r="D16" s="54"/>
      <c r="E16" s="54"/>
      <c r="F16" s="54"/>
      <c r="G16" s="54"/>
      <c r="H16" s="6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3"/>
      <c r="B17" s="35"/>
      <c r="C17" s="70"/>
      <c r="D17" s="60"/>
      <c r="E17" s="71" t="s">
        <v>117</v>
      </c>
      <c r="F17" s="72"/>
      <c r="G17" s="73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6"/>
      <c r="B18" s="78"/>
      <c r="C18" s="79" t="s">
        <v>118</v>
      </c>
      <c r="D18" s="80"/>
      <c r="E18" s="81"/>
      <c r="F18" s="82"/>
      <c r="G18" s="83"/>
      <c r="H18" s="8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6"/>
      <c r="B19" s="54"/>
      <c r="C19" s="54"/>
      <c r="D19" s="54"/>
      <c r="E19" s="56"/>
      <c r="F19" s="86"/>
      <c r="G19" s="54"/>
      <c r="H19" s="5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0"/>
      <c r="B20" s="59"/>
      <c r="C20" s="59"/>
      <c r="D20" s="60"/>
      <c r="E20" s="87" t="s">
        <v>117</v>
      </c>
      <c r="F20" s="89" t="s">
        <v>122</v>
      </c>
      <c r="G20" s="59"/>
      <c r="H20" s="6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1" t="s">
        <v>125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 t="s">
        <v>126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3"/>
      <c r="B34" s="83"/>
      <c r="C34" s="83"/>
      <c r="D34" s="83"/>
      <c r="E34" s="83"/>
      <c r="F34" s="83"/>
      <c r="G34" s="83"/>
      <c r="H34" s="83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4"/>
      <c r="B35" s="56"/>
      <c r="C35" s="95" t="s">
        <v>127</v>
      </c>
      <c r="D35" s="54"/>
      <c r="E35" s="56"/>
      <c r="F35" s="86"/>
      <c r="G35" s="54"/>
      <c r="H35" s="6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6" t="s">
        <v>61</v>
      </c>
      <c r="B36" s="60"/>
      <c r="C36" s="41"/>
      <c r="D36" s="34"/>
      <c r="E36" s="34"/>
      <c r="F36" s="35"/>
      <c r="G36" s="41"/>
      <c r="H36" s="43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3"/>
      <c r="B37" s="35"/>
      <c r="C37" s="48"/>
      <c r="F37" s="46"/>
      <c r="G37" s="48"/>
      <c r="H37" s="4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5"/>
      <c r="B38" s="46"/>
      <c r="C38" s="48"/>
      <c r="F38" s="46"/>
      <c r="G38" s="48"/>
      <c r="H38" s="4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3"/>
      <c r="B39" s="56"/>
      <c r="C39" s="61"/>
      <c r="D39" s="54"/>
      <c r="E39" s="54"/>
      <c r="F39" s="56"/>
      <c r="G39" s="48"/>
      <c r="H39" s="4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7"/>
      <c r="B40" s="59"/>
      <c r="C40" s="59"/>
      <c r="D40" s="59"/>
      <c r="E40" s="60"/>
      <c r="F40" s="57"/>
      <c r="G40" s="48"/>
      <c r="H40" s="4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3"/>
      <c r="B41" s="35"/>
      <c r="C41" s="58" t="s">
        <v>99</v>
      </c>
      <c r="D41" s="59"/>
      <c r="E41" s="60"/>
      <c r="F41" s="47"/>
      <c r="G41" s="48"/>
      <c r="H41" s="4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5"/>
      <c r="B42" s="46"/>
      <c r="C42" s="41"/>
      <c r="D42" s="34"/>
      <c r="E42" s="35"/>
      <c r="F42" s="47"/>
      <c r="G42" s="48"/>
      <c r="H42" s="4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3"/>
      <c r="B43" s="56"/>
      <c r="C43" s="61"/>
      <c r="D43" s="54"/>
      <c r="E43" s="56"/>
      <c r="F43" s="47"/>
      <c r="G43" s="61"/>
      <c r="H43" s="6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7"/>
      <c r="B44" s="60"/>
      <c r="C44" s="64"/>
      <c r="D44" s="66" t="s">
        <v>114</v>
      </c>
      <c r="E44" s="60"/>
      <c r="F44" s="51"/>
      <c r="G44" s="70"/>
      <c r="H44" s="6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3"/>
      <c r="B45" s="34"/>
      <c r="C45" s="34"/>
      <c r="D45" s="34"/>
      <c r="E45" s="34"/>
      <c r="F45" s="34"/>
      <c r="G45" s="34"/>
      <c r="H45" s="43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5"/>
      <c r="H46" s="4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5"/>
      <c r="H47" s="4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3"/>
      <c r="B48" s="54"/>
      <c r="C48" s="54"/>
      <c r="D48" s="54"/>
      <c r="E48" s="54"/>
      <c r="F48" s="54"/>
      <c r="G48" s="54"/>
      <c r="H48" s="6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3"/>
      <c r="B49" s="35"/>
      <c r="C49" s="70"/>
      <c r="D49" s="60"/>
      <c r="E49" s="98" t="s">
        <v>117</v>
      </c>
      <c r="F49" s="41"/>
      <c r="G49" s="34"/>
      <c r="H49" s="43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3"/>
      <c r="B50" s="56"/>
      <c r="C50" s="99" t="s">
        <v>128</v>
      </c>
      <c r="D50" s="59"/>
      <c r="E50" s="60"/>
      <c r="F50" s="48"/>
      <c r="H50" s="4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0"/>
      <c r="B51" s="80"/>
      <c r="C51" s="80"/>
      <c r="D51" s="80"/>
      <c r="E51" s="81"/>
      <c r="F51" s="101"/>
      <c r="G51" s="83"/>
      <c r="H51" s="8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E52" s="102" t="s">
        <v>129</v>
      </c>
      <c r="F52" s="103" t="s">
        <v>122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" t="s">
        <v>130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5"/>
      <c r="F57" s="46"/>
      <c r="G57" s="57"/>
      <c r="H57" s="5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6"/>
      <c r="B58" s="107"/>
      <c r="C58" s="28"/>
      <c r="D58" s="26"/>
      <c r="E58" s="26"/>
      <c r="F58" s="19"/>
      <c r="G58" s="108"/>
      <c r="H58" s="10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3"/>
      <c r="B59" s="56"/>
      <c r="C59" s="66" t="s">
        <v>114</v>
      </c>
      <c r="D59" s="60"/>
      <c r="E59" s="70"/>
      <c r="F59" s="60"/>
      <c r="G59" s="48"/>
      <c r="H59" s="4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7"/>
      <c r="B60" s="59"/>
      <c r="C60" s="59"/>
      <c r="D60" s="59"/>
      <c r="E60" s="60"/>
      <c r="F60" s="57"/>
      <c r="G60" s="48"/>
      <c r="H60" s="4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3"/>
      <c r="B61" s="35"/>
      <c r="C61" s="70"/>
      <c r="D61" s="59"/>
      <c r="E61" s="60"/>
      <c r="F61" s="47"/>
      <c r="G61" s="48"/>
      <c r="H61" s="4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5"/>
      <c r="B62" s="46"/>
      <c r="C62" s="110" t="s">
        <v>99</v>
      </c>
      <c r="D62" s="34"/>
      <c r="E62" s="35"/>
      <c r="F62" s="47"/>
      <c r="G62" s="48"/>
      <c r="H62" s="4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3"/>
      <c r="B63" s="56"/>
      <c r="C63" s="61"/>
      <c r="D63" s="54"/>
      <c r="E63" s="56"/>
      <c r="F63" s="47"/>
      <c r="G63" s="61"/>
      <c r="H63" s="62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7"/>
      <c r="B64" s="60"/>
      <c r="C64" s="64"/>
      <c r="D64" s="64"/>
      <c r="E64" s="64"/>
      <c r="F64" s="51"/>
      <c r="G64" s="70"/>
      <c r="H64" s="6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3"/>
      <c r="B65" s="35"/>
      <c r="C65" s="41"/>
      <c r="D65" s="34"/>
      <c r="E65" s="34"/>
      <c r="F65" s="34"/>
      <c r="G65" s="34"/>
      <c r="H65" s="43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5"/>
      <c r="B66" s="46"/>
      <c r="C66" s="61"/>
      <c r="D66" s="54"/>
      <c r="E66" s="54"/>
      <c r="F66" s="54"/>
      <c r="G66" s="54"/>
      <c r="H66" s="62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5"/>
      <c r="B67" s="46"/>
      <c r="C67" s="111" t="s">
        <v>23</v>
      </c>
      <c r="D67" s="59"/>
      <c r="E67" s="60"/>
      <c r="F67" s="112" t="s">
        <v>61</v>
      </c>
      <c r="G67" s="60"/>
      <c r="H67" s="113" t="s">
        <v>117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3"/>
      <c r="B68" s="56"/>
      <c r="C68" s="70"/>
      <c r="D68" s="59"/>
      <c r="E68" s="59"/>
      <c r="F68" s="59"/>
      <c r="G68" s="59"/>
      <c r="H68" s="6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0"/>
      <c r="B69" s="81"/>
      <c r="C69" s="114"/>
      <c r="D69" s="81"/>
      <c r="E69" s="115"/>
      <c r="F69" s="114"/>
      <c r="G69" s="80"/>
      <c r="H69" s="11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5"/>
      <c r="B70" s="46"/>
      <c r="C70" s="117" t="s">
        <v>131</v>
      </c>
      <c r="D70" s="54"/>
      <c r="E70" s="56"/>
      <c r="F70" s="105"/>
      <c r="H70" s="4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1"/>
      <c r="B71" s="56"/>
      <c r="C71" s="99" t="s">
        <v>128</v>
      </c>
      <c r="D71" s="59"/>
      <c r="E71" s="60"/>
      <c r="F71" s="48"/>
      <c r="H71" s="4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0"/>
      <c r="B72" s="59"/>
      <c r="C72" s="59"/>
      <c r="D72" s="59"/>
      <c r="E72" s="60"/>
      <c r="F72" s="61"/>
      <c r="G72" s="54"/>
      <c r="H72" s="5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0"/>
      <c r="B73" s="59"/>
      <c r="C73" s="59"/>
      <c r="D73" s="60"/>
      <c r="E73" s="118" t="s">
        <v>132</v>
      </c>
      <c r="F73" s="89" t="s">
        <v>122</v>
      </c>
      <c r="G73" s="59"/>
      <c r="H73" s="60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76">
    <mergeCell ref="A40:E40"/>
    <mergeCell ref="C41:E41"/>
    <mergeCell ref="A35:B35"/>
    <mergeCell ref="A36:B36"/>
    <mergeCell ref="C36:F39"/>
    <mergeCell ref="A37:B39"/>
    <mergeCell ref="F40:F44"/>
    <mergeCell ref="C42:E43"/>
    <mergeCell ref="D44:E44"/>
    <mergeCell ref="A41:B43"/>
    <mergeCell ref="A44:B44"/>
    <mergeCell ref="A45:H48"/>
    <mergeCell ref="A49:B50"/>
    <mergeCell ref="C49:D49"/>
    <mergeCell ref="F49:H51"/>
    <mergeCell ref="C50:E50"/>
    <mergeCell ref="G58:H63"/>
    <mergeCell ref="F60:F64"/>
    <mergeCell ref="G64:H64"/>
    <mergeCell ref="A60:E60"/>
    <mergeCell ref="C61:E61"/>
    <mergeCell ref="A61:B63"/>
    <mergeCell ref="A64:B64"/>
    <mergeCell ref="A65:B68"/>
    <mergeCell ref="A69:B69"/>
    <mergeCell ref="A70:B71"/>
    <mergeCell ref="A51:E51"/>
    <mergeCell ref="A52:D52"/>
    <mergeCell ref="F52:H52"/>
    <mergeCell ref="A57:F57"/>
    <mergeCell ref="A58:B59"/>
    <mergeCell ref="C58:F58"/>
    <mergeCell ref="C62:E63"/>
    <mergeCell ref="C70:E70"/>
    <mergeCell ref="C71:E71"/>
    <mergeCell ref="A72:E72"/>
    <mergeCell ref="A73:D73"/>
    <mergeCell ref="C65:H66"/>
    <mergeCell ref="C67:E67"/>
    <mergeCell ref="F67:G67"/>
    <mergeCell ref="C68:H68"/>
    <mergeCell ref="C69:D69"/>
    <mergeCell ref="F69:H69"/>
    <mergeCell ref="F70:H72"/>
    <mergeCell ref="F73:H73"/>
    <mergeCell ref="A4:E8"/>
    <mergeCell ref="A9:B11"/>
    <mergeCell ref="C9:E9"/>
    <mergeCell ref="C10:E11"/>
    <mergeCell ref="A12:B12"/>
    <mergeCell ref="D12:E12"/>
    <mergeCell ref="A2:H2"/>
    <mergeCell ref="A3:B3"/>
    <mergeCell ref="C3:E3"/>
    <mergeCell ref="F3:H3"/>
    <mergeCell ref="F4:F7"/>
    <mergeCell ref="G4:H11"/>
    <mergeCell ref="F8:F12"/>
    <mergeCell ref="G12:H12"/>
    <mergeCell ref="A13:H16"/>
    <mergeCell ref="A17:B18"/>
    <mergeCell ref="C17:D17"/>
    <mergeCell ref="F17:H18"/>
    <mergeCell ref="C18:E18"/>
    <mergeCell ref="F19:H19"/>
    <mergeCell ref="A19:E19"/>
    <mergeCell ref="A20:D20"/>
    <mergeCell ref="F20:H20"/>
    <mergeCell ref="A21:A29"/>
    <mergeCell ref="A34:H34"/>
    <mergeCell ref="C35:E35"/>
    <mergeCell ref="F35:H35"/>
    <mergeCell ref="G36:H43"/>
    <mergeCell ref="G44:H44"/>
    <mergeCell ref="C59:D59"/>
    <mergeCell ref="E59:F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 t="s">
        <v>133</v>
      </c>
      <c r="B1" s="120" t="s">
        <v>134</v>
      </c>
      <c r="C1" s="120" t="s">
        <v>135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2">
        <v>46250.0</v>
      </c>
      <c r="B2" s="123" t="s">
        <v>136</v>
      </c>
      <c r="C2" s="124">
        <f>8+5+5</f>
        <v>18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5"/>
      <c r="B3" s="123" t="s">
        <v>137</v>
      </c>
      <c r="C3" s="126">
        <v>14.0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5"/>
      <c r="B4" s="123" t="s">
        <v>138</v>
      </c>
      <c r="C4" s="124">
        <v>4.0</v>
      </c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125"/>
      <c r="B5" s="123" t="s">
        <v>139</v>
      </c>
      <c r="C5" s="126">
        <v>4.0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125"/>
      <c r="B6" s="123" t="s">
        <v>140</v>
      </c>
      <c r="C6" s="124">
        <v>11.0</v>
      </c>
      <c r="D6" s="127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>
      <c r="A7" s="125"/>
      <c r="B7" s="123" t="s">
        <v>141</v>
      </c>
      <c r="C7" s="126">
        <v>150.0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>
      <c r="A8" s="125"/>
      <c r="B8" s="123" t="s">
        <v>142</v>
      </c>
      <c r="C8" s="124">
        <v>1.0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>
      <c r="A9" s="125"/>
      <c r="B9" s="123" t="s">
        <v>143</v>
      </c>
      <c r="C9" s="126">
        <v>2.0</v>
      </c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>
      <c r="A10" s="125"/>
      <c r="B10" s="123" t="s">
        <v>144</v>
      </c>
      <c r="C10" s="126">
        <v>2.0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125"/>
      <c r="B11" s="123" t="s">
        <v>145</v>
      </c>
      <c r="C11" s="126">
        <v>1.0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>
      <c r="A12" s="128"/>
      <c r="B12" s="129"/>
      <c r="C12" s="130">
        <f>SUM(C2:C11)</f>
        <v>207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8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8"/>
      <c r="B14" s="121"/>
      <c r="C14" s="12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>
      <c r="A15" s="8"/>
      <c r="B15" s="121"/>
      <c r="C15" s="127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>
      <c r="A16" s="8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>
      <c r="A17" s="8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>
      <c r="A18" s="8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>
      <c r="A19" s="8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>
      <c r="A20" s="8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>
      <c r="A21" s="8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>
      <c r="A22" s="8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>
      <c r="A23" s="8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>
      <c r="A24" s="8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>
      <c r="A25" s="8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>
      <c r="A26" s="8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>
      <c r="A27" s="8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>
      <c r="A28" s="8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>
      <c r="A29" s="8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>
      <c r="A30" s="8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>
      <c r="A31" s="8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>
      <c r="A32" s="8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>
      <c r="A33" s="8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>
      <c r="A34" s="8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>
      <c r="A35" s="8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>
      <c r="A36" s="8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>
      <c r="A37" s="8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>
      <c r="A38" s="8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>
      <c r="A39" s="8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>
      <c r="A40" s="8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>
      <c r="A41" s="8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>
      <c r="A42" s="8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>
      <c r="A43" s="8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>
      <c r="A44" s="8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>
      <c r="A45" s="8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>
      <c r="A46" s="8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>
      <c r="A47" s="8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8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8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8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8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8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8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8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8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8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8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8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8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8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8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8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8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8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8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8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8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8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8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8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8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8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8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8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8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8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8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8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8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8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8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8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8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8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8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8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8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8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8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8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8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8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8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8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8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8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8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8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8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8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8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8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8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8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8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8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8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8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8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8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8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8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8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8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8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8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8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8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8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8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8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8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8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8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8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8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8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8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8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8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8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8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8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8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>
      <c r="A135" s="8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>
      <c r="A136" s="8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>
      <c r="A137" s="8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>
      <c r="A138" s="8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>
      <c r="A139" s="8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>
      <c r="A140" s="8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>
      <c r="A141" s="8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>
      <c r="A142" s="8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>
      <c r="A143" s="8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>
      <c r="A144" s="8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>
      <c r="A145" s="8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>
      <c r="A146" s="8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>
      <c r="A147" s="8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>
      <c r="A148" s="8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>
      <c r="A149" s="8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>
      <c r="A150" s="8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>
      <c r="A151" s="8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>
      <c r="A152" s="8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>
      <c r="A153" s="8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>
      <c r="A154" s="8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>
      <c r="A155" s="8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>
      <c r="A156" s="8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>
      <c r="A157" s="8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>
      <c r="A158" s="8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>
      <c r="A159" s="8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>
      <c r="A160" s="8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>
      <c r="A161" s="8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>
      <c r="A162" s="8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8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8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8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8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>
      <c r="A167" s="8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>
      <c r="A168" s="8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>
      <c r="A169" s="8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>
      <c r="A170" s="8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>
      <c r="A171" s="8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>
      <c r="A172" s="8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>
      <c r="A173" s="8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>
      <c r="A174" s="8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>
      <c r="A175" s="8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>
      <c r="A176" s="8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>
      <c r="A177" s="8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>
      <c r="A178" s="8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>
      <c r="A179" s="8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>
      <c r="A180" s="8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>
      <c r="A181" s="8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>
      <c r="A182" s="8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>
      <c r="A183" s="8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>
      <c r="A184" s="8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>
      <c r="A185" s="8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>
      <c r="A186" s="8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>
      <c r="A187" s="8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>
      <c r="A188" s="8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>
      <c r="A189" s="8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>
      <c r="A190" s="8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>
      <c r="A191" s="8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>
      <c r="A192" s="8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>
      <c r="A193" s="8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8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8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>
      <c r="A196" s="8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>
      <c r="A197" s="8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>
      <c r="A198" s="8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>
      <c r="A199" s="8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>
      <c r="A200" s="8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>
      <c r="A201" s="8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>
      <c r="A202" s="8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>
      <c r="A203" s="8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>
      <c r="A204" s="8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>
      <c r="A205" s="8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>
      <c r="A206" s="8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>
      <c r="A207" s="8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>
      <c r="A208" s="8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>
      <c r="A209" s="8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>
      <c r="A210" s="8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>
      <c r="A211" s="8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>
      <c r="A212" s="8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>
      <c r="A213" s="8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>
      <c r="A214" s="8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>
      <c r="A215" s="8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>
      <c r="A216" s="8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>
      <c r="A217" s="8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>
      <c r="A218" s="8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>
      <c r="A219" s="8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>
      <c r="A220" s="8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>
      <c r="A221" s="8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>
      <c r="A222" s="8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>
      <c r="A223" s="8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>
      <c r="A224" s="8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>
      <c r="A225" s="8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>
      <c r="A226" s="8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>
      <c r="A227" s="8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>
      <c r="A228" s="8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>
      <c r="A229" s="8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>
      <c r="A230" s="8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>
      <c r="A231" s="8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>
      <c r="A232" s="8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>
      <c r="A233" s="8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>
      <c r="A234" s="8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>
      <c r="A235" s="8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>
      <c r="A236" s="8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>
      <c r="A237" s="8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>
      <c r="A238" s="8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>
      <c r="A239" s="8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>
      <c r="A240" s="8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>
      <c r="A241" s="8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>
      <c r="A242" s="8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>
      <c r="A243" s="8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>
      <c r="A244" s="8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>
      <c r="A245" s="8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>
      <c r="A246" s="8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>
      <c r="A247" s="8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>
      <c r="A248" s="8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>
      <c r="A249" s="8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>
      <c r="A250" s="8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>
      <c r="A251" s="8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>
      <c r="A252" s="8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>
      <c r="A253" s="8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>
      <c r="A254" s="8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>
      <c r="A255" s="8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>
      <c r="A256" s="8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>
      <c r="A257" s="8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>
      <c r="A258" s="8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>
      <c r="A259" s="8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>
      <c r="A260" s="8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>
      <c r="A261" s="8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>
      <c r="A262" s="8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>
      <c r="A263" s="8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>
      <c r="A264" s="8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>
      <c r="A265" s="8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>
      <c r="A266" s="8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>
      <c r="A267" s="8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>
      <c r="A268" s="8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>
      <c r="A269" s="8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>
      <c r="A270" s="8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>
      <c r="A271" s="8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>
      <c r="A272" s="8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>
      <c r="A273" s="8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>
      <c r="A274" s="8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>
      <c r="A275" s="8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>
      <c r="A276" s="8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>
      <c r="A277" s="8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>
      <c r="A278" s="8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>
      <c r="A279" s="8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>
      <c r="A280" s="8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>
      <c r="A281" s="8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>
      <c r="A282" s="8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>
      <c r="A283" s="8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>
      <c r="A284" s="8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>
      <c r="A285" s="8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>
      <c r="A286" s="8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>
      <c r="A287" s="8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>
      <c r="A288" s="8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>
      <c r="A289" s="8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>
      <c r="A290" s="8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>
      <c r="A291" s="8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>
      <c r="A292" s="8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>
      <c r="A293" s="8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>
      <c r="A294" s="8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>
      <c r="A295" s="8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>
      <c r="A296" s="8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>
      <c r="A297" s="8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>
      <c r="A298" s="8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>
      <c r="A299" s="8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>
      <c r="A300" s="8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>
      <c r="A301" s="8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>
      <c r="A302" s="8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>
      <c r="A303" s="8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>
      <c r="A304" s="8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>
      <c r="A305" s="8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>
      <c r="A306" s="8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>
      <c r="A307" s="8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>
      <c r="A308" s="8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>
      <c r="A309" s="8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>
      <c r="A310" s="8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>
      <c r="A311" s="8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>
      <c r="A312" s="8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>
      <c r="A313" s="8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>
      <c r="A314" s="8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>
      <c r="A315" s="8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>
      <c r="A316" s="8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>
      <c r="A317" s="8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>
      <c r="A318" s="8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>
      <c r="A319" s="8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>
      <c r="A320" s="8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>
      <c r="A321" s="8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>
      <c r="A322" s="8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>
      <c r="A323" s="8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>
      <c r="A324" s="8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>
      <c r="A325" s="8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>
      <c r="A326" s="8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>
      <c r="A327" s="8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>
      <c r="A328" s="8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>
      <c r="A329" s="8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>
      <c r="A330" s="8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>
      <c r="A331" s="8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>
      <c r="A332" s="8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>
      <c r="A333" s="8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>
      <c r="A334" s="8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>
      <c r="A335" s="8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>
      <c r="A336" s="8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>
      <c r="A337" s="8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>
      <c r="A338" s="8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>
      <c r="A339" s="8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>
      <c r="A340" s="8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>
      <c r="A341" s="8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>
      <c r="A342" s="8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>
      <c r="A343" s="8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>
      <c r="A344" s="8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>
      <c r="A345" s="8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>
      <c r="A346" s="8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>
      <c r="A347" s="8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>
      <c r="A348" s="8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>
      <c r="A349" s="8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>
      <c r="A350" s="8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>
      <c r="A351" s="8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>
      <c r="A352" s="8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>
      <c r="A353" s="8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>
      <c r="A354" s="8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>
      <c r="A355" s="8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>
      <c r="A356" s="8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>
      <c r="A357" s="8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>
      <c r="A358" s="8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>
      <c r="A359" s="8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>
      <c r="A360" s="8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>
      <c r="A361" s="8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>
      <c r="A362" s="8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>
      <c r="A363" s="8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>
      <c r="A364" s="8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>
      <c r="A365" s="8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>
      <c r="A366" s="8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>
      <c r="A367" s="8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>
      <c r="A368" s="8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>
      <c r="A369" s="8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>
      <c r="A370" s="8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>
      <c r="A371" s="8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>
      <c r="A372" s="8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>
      <c r="A373" s="8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>
      <c r="A374" s="8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>
      <c r="A375" s="8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>
      <c r="A376" s="8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>
      <c r="A377" s="8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>
      <c r="A378" s="8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>
      <c r="A379" s="8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8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>
      <c r="A381" s="8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>
      <c r="A382" s="8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>
      <c r="A383" s="8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>
      <c r="A384" s="8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>
      <c r="A385" s="8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>
      <c r="A386" s="8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>
      <c r="A387" s="8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>
      <c r="A388" s="8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>
      <c r="A389" s="8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>
      <c r="A390" s="8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>
      <c r="A391" s="8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>
      <c r="A392" s="8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>
      <c r="A393" s="8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>
      <c r="A394" s="8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>
      <c r="A395" s="8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>
      <c r="A396" s="8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>
      <c r="A397" s="8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>
      <c r="A398" s="8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>
      <c r="A399" s="8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>
      <c r="A400" s="8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>
      <c r="A401" s="8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>
      <c r="A402" s="8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>
      <c r="A403" s="8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>
      <c r="A404" s="8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>
      <c r="A405" s="8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>
      <c r="A406" s="8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>
      <c r="A407" s="8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>
      <c r="A408" s="8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>
      <c r="A409" s="8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>
      <c r="A410" s="8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>
      <c r="A411" s="8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>
      <c r="A412" s="8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>
      <c r="A413" s="8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>
      <c r="A414" s="8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>
      <c r="A415" s="8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>
      <c r="A416" s="8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>
      <c r="A417" s="8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>
      <c r="A418" s="8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>
      <c r="A419" s="8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>
      <c r="A420" s="8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>
      <c r="A421" s="8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>
      <c r="A422" s="8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>
      <c r="A423" s="8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>
      <c r="A424" s="8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>
      <c r="A425" s="8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>
      <c r="A426" s="8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>
      <c r="A427" s="8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>
      <c r="A428" s="8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>
      <c r="A429" s="8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>
      <c r="A430" s="8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>
      <c r="A431" s="8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>
      <c r="A432" s="8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>
      <c r="A433" s="8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>
      <c r="A434" s="8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>
      <c r="A435" s="8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>
      <c r="A436" s="8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8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>
      <c r="A438" s="8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>
      <c r="A439" s="8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>
      <c r="A440" s="8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>
      <c r="A441" s="8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>
      <c r="A442" s="8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>
      <c r="A443" s="8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>
      <c r="A444" s="8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>
      <c r="A445" s="8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>
      <c r="A446" s="8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>
      <c r="A447" s="8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>
      <c r="A448" s="8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>
      <c r="A449" s="8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>
      <c r="A450" s="8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>
      <c r="A451" s="8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>
      <c r="A452" s="8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>
      <c r="A453" s="8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>
      <c r="A454" s="8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>
      <c r="A455" s="8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>
      <c r="A456" s="8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>
      <c r="A457" s="8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>
      <c r="A458" s="8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>
      <c r="A459" s="8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>
      <c r="A460" s="8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>
      <c r="A461" s="8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>
      <c r="A462" s="8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>
      <c r="A463" s="8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>
      <c r="A464" s="8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>
      <c r="A465" s="8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>
      <c r="A466" s="8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>
      <c r="A467" s="8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>
      <c r="A468" s="8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>
      <c r="A469" s="8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>
      <c r="A470" s="8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>
      <c r="A471" s="8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>
      <c r="A472" s="8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>
      <c r="A473" s="8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>
      <c r="A474" s="8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>
      <c r="A475" s="8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>
      <c r="A476" s="8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>
      <c r="A477" s="8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>
      <c r="A478" s="8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>
      <c r="A479" s="8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>
      <c r="A480" s="8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>
      <c r="A481" s="8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>
      <c r="A482" s="8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>
      <c r="A483" s="8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>
      <c r="A484" s="8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>
      <c r="A485" s="8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>
      <c r="A486" s="8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>
      <c r="A487" s="8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>
      <c r="A488" s="8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>
      <c r="A489" s="8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>
      <c r="A490" s="8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>
      <c r="A491" s="8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>
      <c r="A492" s="8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>
      <c r="A493" s="8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>
      <c r="A494" s="8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>
      <c r="A495" s="8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>
      <c r="A496" s="8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>
      <c r="A497" s="8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>
      <c r="A498" s="8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>
      <c r="A499" s="8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>
      <c r="A500" s="8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>
      <c r="A501" s="8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>
      <c r="A502" s="8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>
      <c r="A503" s="8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>
      <c r="A504" s="8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>
      <c r="A505" s="8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>
      <c r="A506" s="8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>
      <c r="A507" s="8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>
      <c r="A508" s="8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>
      <c r="A509" s="8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>
      <c r="A510" s="8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>
      <c r="A511" s="8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>
      <c r="A512" s="8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>
      <c r="A513" s="8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>
      <c r="A514" s="8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>
      <c r="A515" s="8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>
      <c r="A516" s="8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>
      <c r="A517" s="8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>
      <c r="A518" s="8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>
      <c r="A519" s="8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>
      <c r="A520" s="8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>
      <c r="A521" s="8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>
      <c r="A522" s="8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>
      <c r="A523" s="8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>
      <c r="A524" s="8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>
      <c r="A525" s="8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>
      <c r="A526" s="8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>
      <c r="A527" s="8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>
      <c r="A528" s="8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>
      <c r="A529" s="8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>
      <c r="A530" s="8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>
      <c r="A531" s="8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>
      <c r="A532" s="8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>
      <c r="A533" s="8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>
      <c r="A534" s="8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>
      <c r="A535" s="8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>
      <c r="A536" s="8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>
      <c r="A537" s="8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>
      <c r="A538" s="8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>
      <c r="A539" s="8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>
      <c r="A540" s="8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>
      <c r="A541" s="8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>
      <c r="A542" s="8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>
      <c r="A543" s="8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>
      <c r="A544" s="8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>
      <c r="A545" s="8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>
      <c r="A546" s="8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>
      <c r="A547" s="8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>
      <c r="A548" s="8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>
      <c r="A549" s="8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>
      <c r="A550" s="8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>
      <c r="A551" s="8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>
      <c r="A552" s="8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>
      <c r="A553" s="8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>
      <c r="A554" s="8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>
      <c r="A555" s="8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>
      <c r="A556" s="8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>
      <c r="A557" s="8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>
      <c r="A558" s="8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>
      <c r="A559" s="8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>
      <c r="A560" s="8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>
      <c r="A561" s="8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>
      <c r="A562" s="8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>
      <c r="A563" s="8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>
      <c r="A564" s="8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>
      <c r="A565" s="8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>
      <c r="A566" s="8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>
      <c r="A567" s="8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>
      <c r="A568" s="8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>
      <c r="A569" s="8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>
      <c r="A570" s="8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>
      <c r="A571" s="8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>
      <c r="A572" s="8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>
      <c r="A573" s="8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>
      <c r="A574" s="8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>
      <c r="A575" s="8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>
      <c r="A576" s="8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>
      <c r="A577" s="8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>
      <c r="A578" s="8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>
      <c r="A579" s="8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>
      <c r="A580" s="8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>
      <c r="A581" s="8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>
      <c r="A582" s="8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>
      <c r="A583" s="8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>
      <c r="A584" s="8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>
      <c r="A585" s="8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>
      <c r="A586" s="8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>
      <c r="A587" s="8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>
      <c r="A588" s="8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>
      <c r="A589" s="8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>
      <c r="A590" s="8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>
      <c r="A591" s="8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>
      <c r="A592" s="8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>
      <c r="A593" s="8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>
      <c r="A594" s="8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>
      <c r="A595" s="8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>
      <c r="A596" s="8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>
      <c r="A597" s="8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>
      <c r="A598" s="8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>
      <c r="A599" s="8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>
      <c r="A600" s="8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>
      <c r="A601" s="8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>
      <c r="A602" s="8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>
      <c r="A603" s="8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>
      <c r="A604" s="8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>
      <c r="A605" s="8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>
      <c r="A606" s="8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>
      <c r="A607" s="8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>
      <c r="A608" s="8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>
      <c r="A609" s="8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>
      <c r="A610" s="8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>
      <c r="A611" s="8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>
      <c r="A612" s="8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>
      <c r="A613" s="8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>
      <c r="A614" s="8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>
      <c r="A615" s="8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>
      <c r="A616" s="8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>
      <c r="A617" s="8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>
      <c r="A618" s="8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>
      <c r="A619" s="8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>
      <c r="A620" s="8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>
      <c r="A621" s="8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>
      <c r="A622" s="8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>
      <c r="A623" s="8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>
      <c r="A624" s="8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>
      <c r="A625" s="8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>
      <c r="A626" s="8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>
      <c r="A627" s="8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>
      <c r="A628" s="8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>
      <c r="A629" s="8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>
      <c r="A630" s="8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>
      <c r="A631" s="8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>
      <c r="A632" s="8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>
      <c r="A633" s="8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>
      <c r="A634" s="8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>
      <c r="A635" s="8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>
      <c r="A636" s="8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>
      <c r="A637" s="8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>
      <c r="A638" s="8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>
      <c r="A639" s="8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>
      <c r="A640" s="8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>
      <c r="A641" s="8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>
      <c r="A642" s="8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>
      <c r="A643" s="8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>
      <c r="A644" s="8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>
      <c r="A645" s="8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>
      <c r="A646" s="8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>
      <c r="A647" s="8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>
      <c r="A648" s="8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>
      <c r="A649" s="8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>
      <c r="A650" s="8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>
      <c r="A651" s="8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>
      <c r="A652" s="8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>
      <c r="A653" s="8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>
      <c r="A654" s="8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>
      <c r="A655" s="8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>
      <c r="A656" s="8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>
      <c r="A657" s="8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>
      <c r="A658" s="8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>
      <c r="A659" s="8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>
      <c r="A660" s="8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>
      <c r="A661" s="8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>
      <c r="A662" s="8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>
      <c r="A663" s="8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>
      <c r="A664" s="8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>
      <c r="A665" s="8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>
      <c r="A666" s="8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>
      <c r="A667" s="8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>
      <c r="A668" s="8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>
      <c r="A669" s="8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>
      <c r="A670" s="8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>
      <c r="A671" s="8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>
      <c r="A672" s="8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>
      <c r="A673" s="8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>
      <c r="A674" s="8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>
      <c r="A675" s="8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>
      <c r="A676" s="8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>
      <c r="A677" s="8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>
      <c r="A678" s="8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>
      <c r="A679" s="8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>
      <c r="A680" s="8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>
      <c r="A681" s="8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>
      <c r="A682" s="8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>
      <c r="A683" s="8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>
      <c r="A684" s="8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>
      <c r="A685" s="8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>
      <c r="A686" s="8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>
      <c r="A687" s="8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>
      <c r="A688" s="8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>
      <c r="A689" s="8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>
      <c r="A690" s="8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>
      <c r="A691" s="8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>
      <c r="A692" s="8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>
      <c r="A693" s="8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>
      <c r="A694" s="8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>
      <c r="A695" s="8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>
      <c r="A696" s="8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>
      <c r="A697" s="8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>
      <c r="A698" s="8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>
      <c r="A699" s="8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>
      <c r="A700" s="8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>
      <c r="A701" s="8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>
      <c r="A702" s="8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>
      <c r="A703" s="8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>
      <c r="A704" s="8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>
      <c r="A705" s="8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>
      <c r="A706" s="8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>
      <c r="A707" s="8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>
      <c r="A708" s="8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>
      <c r="A709" s="8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>
      <c r="A710" s="8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>
      <c r="A711" s="8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>
      <c r="A712" s="8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>
      <c r="A713" s="8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>
      <c r="A714" s="8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>
      <c r="A715" s="8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>
      <c r="A716" s="8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>
      <c r="A717" s="8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>
      <c r="A718" s="8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>
      <c r="A719" s="8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>
      <c r="A720" s="8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>
      <c r="A721" s="8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>
      <c r="A722" s="8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>
      <c r="A723" s="8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>
      <c r="A724" s="8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>
      <c r="A725" s="8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>
      <c r="A726" s="8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>
      <c r="A727" s="8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>
      <c r="A728" s="8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>
      <c r="A729" s="8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>
      <c r="A730" s="8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>
      <c r="A731" s="8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>
      <c r="A732" s="8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>
      <c r="A733" s="8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>
      <c r="A734" s="8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>
      <c r="A735" s="8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>
      <c r="A736" s="8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>
      <c r="A737" s="8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>
      <c r="A738" s="8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>
      <c r="A739" s="8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>
      <c r="A740" s="8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>
      <c r="A741" s="8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>
      <c r="A742" s="8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>
      <c r="A743" s="8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>
      <c r="A744" s="8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>
      <c r="A745" s="8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>
      <c r="A746" s="8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>
      <c r="A747" s="8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>
      <c r="A748" s="8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>
      <c r="A749" s="8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>
      <c r="A750" s="8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>
      <c r="A751" s="8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>
      <c r="A752" s="8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>
      <c r="A753" s="8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>
      <c r="A754" s="8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>
      <c r="A755" s="8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>
      <c r="A756" s="8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>
      <c r="A757" s="8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>
      <c r="A758" s="8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>
      <c r="A759" s="8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>
      <c r="A760" s="8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>
      <c r="A761" s="8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>
      <c r="A762" s="8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>
      <c r="A763" s="8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>
      <c r="A764" s="8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>
      <c r="A765" s="8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>
      <c r="A766" s="8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>
      <c r="A767" s="8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>
      <c r="A768" s="8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>
      <c r="A769" s="8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>
      <c r="A770" s="8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>
      <c r="A771" s="8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>
      <c r="A772" s="8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>
      <c r="A773" s="8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>
      <c r="A774" s="8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>
      <c r="A775" s="8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>
      <c r="A776" s="8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>
      <c r="A777" s="8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>
      <c r="A778" s="8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>
      <c r="A779" s="8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>
      <c r="A780" s="8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>
      <c r="A781" s="8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>
      <c r="A782" s="8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>
      <c r="A783" s="8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>
      <c r="A784" s="8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>
      <c r="A785" s="8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>
      <c r="A786" s="8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>
      <c r="A787" s="8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>
      <c r="A788" s="8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>
      <c r="A789" s="8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>
      <c r="A790" s="8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>
      <c r="A791" s="8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>
      <c r="A792" s="8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>
      <c r="A793" s="8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>
      <c r="A794" s="8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>
      <c r="A795" s="8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>
      <c r="A796" s="8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>
      <c r="A797" s="8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>
      <c r="A798" s="8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>
      <c r="A799" s="8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>
      <c r="A800" s="8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>
      <c r="A801" s="8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>
      <c r="A802" s="8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>
      <c r="A803" s="8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>
      <c r="A804" s="8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>
      <c r="A805" s="8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>
      <c r="A806" s="8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>
      <c r="A807" s="8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>
      <c r="A808" s="8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>
      <c r="A809" s="8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>
      <c r="A810" s="8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>
      <c r="A811" s="8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>
      <c r="A812" s="8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>
      <c r="A813" s="8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>
      <c r="A814" s="8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>
      <c r="A815" s="8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>
      <c r="A816" s="8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>
      <c r="A817" s="8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>
      <c r="A818" s="8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>
      <c r="A819" s="8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>
      <c r="A820" s="8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>
      <c r="A821" s="8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>
      <c r="A822" s="8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>
      <c r="A823" s="8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>
      <c r="A824" s="8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8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>
      <c r="A826" s="8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>
      <c r="A827" s="8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>
      <c r="A828" s="8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>
      <c r="A829" s="8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>
      <c r="A830" s="8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>
      <c r="A831" s="8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>
      <c r="A832" s="8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>
      <c r="A833" s="8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>
      <c r="A834" s="8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>
      <c r="A835" s="8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>
      <c r="A836" s="8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>
      <c r="A837" s="8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>
      <c r="A838" s="8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>
      <c r="A839" s="8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>
      <c r="A840" s="8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>
      <c r="A841" s="8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>
      <c r="A842" s="8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>
      <c r="A843" s="8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>
      <c r="A844" s="8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>
      <c r="A845" s="8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>
      <c r="A846" s="8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>
      <c r="A847" s="8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>
      <c r="A848" s="8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>
      <c r="A849" s="8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>
      <c r="A850" s="8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>
      <c r="A851" s="8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>
      <c r="A852" s="8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>
      <c r="A853" s="8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>
      <c r="A854" s="8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>
      <c r="A855" s="8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>
      <c r="A856" s="8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>
      <c r="A857" s="8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>
      <c r="A858" s="8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>
      <c r="A859" s="8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>
      <c r="A860" s="8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>
      <c r="A861" s="8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>
      <c r="A862" s="8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>
      <c r="A863" s="8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>
      <c r="A864" s="8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>
      <c r="A865" s="8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>
      <c r="A866" s="8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>
      <c r="A867" s="8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>
      <c r="A868" s="8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>
      <c r="A869" s="8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>
      <c r="A870" s="8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>
      <c r="A871" s="8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>
      <c r="A872" s="8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>
      <c r="A873" s="8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>
      <c r="A874" s="8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>
      <c r="A875" s="8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>
      <c r="A876" s="8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>
      <c r="A877" s="8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>
      <c r="A878" s="8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>
      <c r="A879" s="8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>
      <c r="A880" s="8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>
      <c r="A881" s="8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>
      <c r="A882" s="8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>
      <c r="A883" s="8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>
      <c r="A884" s="8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>
      <c r="A885" s="8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>
      <c r="A886" s="8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>
      <c r="A887" s="8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>
      <c r="A888" s="8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>
      <c r="A889" s="8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>
      <c r="A890" s="8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>
      <c r="A891" s="8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>
      <c r="A892" s="8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>
      <c r="A893" s="8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>
      <c r="A894" s="8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>
      <c r="A895" s="8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>
      <c r="A896" s="8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>
      <c r="A897" s="8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>
      <c r="A898" s="8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>
      <c r="A899" s="8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>
      <c r="A900" s="8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>
      <c r="A901" s="8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>
      <c r="A902" s="8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>
      <c r="A903" s="8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>
      <c r="A904" s="8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>
      <c r="A905" s="8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>
      <c r="A906" s="8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>
      <c r="A907" s="8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>
      <c r="A908" s="8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>
      <c r="A909" s="8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>
      <c r="A910" s="8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>
      <c r="A911" s="8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>
      <c r="A912" s="8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>
      <c r="A913" s="8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>
      <c r="A914" s="8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>
      <c r="A915" s="8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>
      <c r="A916" s="8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>
      <c r="A917" s="8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>
      <c r="A918" s="8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>
      <c r="A919" s="8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>
      <c r="A920" s="8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>
      <c r="A921" s="8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>
      <c r="A922" s="8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>
      <c r="A923" s="8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>
      <c r="A924" s="8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>
      <c r="A925" s="8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>
      <c r="A926" s="8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>
      <c r="A927" s="8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>
      <c r="A928" s="8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>
      <c r="A929" s="8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>
      <c r="A930" s="8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>
      <c r="A931" s="8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>
      <c r="A932" s="8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>
      <c r="A933" s="8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>
      <c r="A934" s="8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>
      <c r="A935" s="8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>
      <c r="A936" s="8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>
      <c r="A937" s="8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>
      <c r="A938" s="8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>
      <c r="A939" s="8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>
      <c r="A940" s="8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>
      <c r="A941" s="8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>
      <c r="A942" s="8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>
      <c r="A943" s="8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>
      <c r="A944" s="8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>
      <c r="A945" s="8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>
      <c r="A946" s="8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>
      <c r="A947" s="8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>
      <c r="A948" s="8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>
      <c r="A949" s="8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>
      <c r="A950" s="8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>
      <c r="A951" s="8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>
      <c r="A952" s="8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>
      <c r="A953" s="8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>
      <c r="A954" s="8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>
      <c r="A955" s="8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>
      <c r="A956" s="8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>
      <c r="A957" s="8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>
      <c r="A958" s="8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>
      <c r="A959" s="8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>
      <c r="A960" s="8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>
      <c r="A961" s="8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>
      <c r="A962" s="8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>
      <c r="A963" s="8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>
      <c r="A964" s="8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>
      <c r="A965" s="8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>
      <c r="A966" s="8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>
      <c r="A967" s="8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>
      <c r="A968" s="8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>
      <c r="A969" s="8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>
      <c r="A970" s="8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>
      <c r="A971" s="8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>
      <c r="A972" s="8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>
      <c r="A973" s="8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>
      <c r="A974" s="8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>
      <c r="A975" s="8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>
      <c r="A976" s="8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>
      <c r="A977" s="8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>
      <c r="A978" s="8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>
      <c r="A979" s="8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>
      <c r="A980" s="8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>
      <c r="A981" s="8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>
      <c r="A982" s="8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>
      <c r="A983" s="8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>
      <c r="A984" s="8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>
      <c r="A985" s="8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>
      <c r="A986" s="8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>
      <c r="A987" s="8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>
      <c r="A988" s="8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>
      <c r="A989" s="8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>
      <c r="A990" s="8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>
      <c r="A991" s="8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>
      <c r="A992" s="131"/>
    </row>
    <row r="993">
      <c r="A993" s="131"/>
    </row>
    <row r="994">
      <c r="A994" s="131"/>
    </row>
    <row r="995">
      <c r="A995" s="131"/>
    </row>
    <row r="996">
      <c r="A996" s="131"/>
    </row>
    <row r="997">
      <c r="A997" s="131"/>
    </row>
    <row r="998">
      <c r="A998" s="131"/>
    </row>
    <row r="999">
      <c r="A999" s="131"/>
    </row>
    <row r="1000">
      <c r="A1000" s="131"/>
    </row>
  </sheetData>
  <mergeCells count="1">
    <mergeCell ref="A2:A12"/>
  </mergeCells>
  <drawing r:id="rId1"/>
</worksheet>
</file>